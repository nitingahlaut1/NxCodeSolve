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tats" sheetId="1" state="visible" r:id="rId1"/>
    <sheet xmlns:r="http://schemas.openxmlformats.org/officeDocument/2006/relationships" name="All 476 Probl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A34A"/>
      <sz val="10"/>
    </font>
    <font>
      <name val="Segoe UI"/>
      <color rgb="002563EB"/>
      <sz val="10"/>
      <u val="single"/>
    </font>
    <font>
      <name val="Segoe UI"/>
      <b val="1"/>
      <color rgb="00D97706"/>
      <sz val="10"/>
    </font>
    <font>
      <name val="Segoe UI"/>
      <b val="1"/>
      <color rgb="00DC2626"/>
      <sz val="10"/>
    </font>
    <font>
      <name val="Segoe UI"/>
      <i val="1"/>
      <color rgb="00475569"/>
      <sz val="10"/>
    </font>
    <font>
      <name val="Segoe UI"/>
      <b val="1"/>
      <sz val="10"/>
    </font>
    <font>
      <name val="Segoe UI"/>
      <color rgb="00DC2626"/>
      <sz val="10"/>
      <u val="single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65" customWidth="1" min="3" max="3"/>
    <col width="16" customWidth="1" min="4" max="4"/>
    <col width="16" customWidth="1" min="5" max="5"/>
  </cols>
  <sheetData>
    <row r="1" ht="26" customHeight="1">
      <c r="A1" s="1" t="inlineStr">
        <is>
          <t>Striver's A2Z DSA Sheet - Curriculum Dashboard</t>
        </is>
      </c>
    </row>
    <row r="2" ht="18" customHeight="1">
      <c r="A2" s="2" t="inlineStr">
        <is>
          <t>High-level module distribution, problem counts, and study roadmap tracking</t>
        </is>
      </c>
    </row>
    <row r="4" ht="24" customHeight="1">
      <c r="A4" s="3" t="inlineStr">
        <is>
          <t>Step #</t>
        </is>
      </c>
      <c r="B4" s="3" t="inlineStr">
        <is>
          <t>Module Name</t>
        </is>
      </c>
      <c r="C4" s="3" t="inlineStr">
        <is>
          <t>Topic Focus</t>
        </is>
      </c>
      <c r="D4" s="3" t="inlineStr">
        <is>
          <t>Problem Count</t>
        </is>
      </c>
      <c r="E4" s="3" t="inlineStr">
        <is>
          <t>Status</t>
        </is>
      </c>
    </row>
    <row r="5" ht="20" customHeight="1">
      <c r="A5" s="4" t="inlineStr">
        <is>
          <t>Step 1</t>
        </is>
      </c>
      <c r="B5" s="5" t="inlineStr">
        <is>
          <t>Learn the Basics</t>
        </is>
      </c>
      <c r="C5" s="5" t="inlineStr">
        <is>
          <t>Language syntax, Basic Maths, Recursion, Hashing, Patterns</t>
        </is>
      </c>
      <c r="D5" s="4">
        <f>COUNTIF('All 476 Problems'!C5:C480, "*Step 1*")</f>
        <v/>
      </c>
      <c r="E5" s="6" t="inlineStr">
        <is>
          <t>In Progress</t>
        </is>
      </c>
    </row>
    <row r="6" ht="20" customHeight="1">
      <c r="A6" s="7" t="inlineStr">
        <is>
          <t>Step 2</t>
        </is>
      </c>
      <c r="B6" s="8" t="inlineStr">
        <is>
          <t>Learn Important Sorting Techniques</t>
        </is>
      </c>
      <c r="C6" s="8" t="inlineStr">
        <is>
          <t>Selection, Bubble, Insertion, Merge, Quick Sort</t>
        </is>
      </c>
      <c r="D6" s="7">
        <f>COUNTIF('All 476 Problems'!C5:C480, "*Step 2*")</f>
        <v/>
      </c>
      <c r="E6" s="9" t="inlineStr">
        <is>
          <t>In Progress</t>
        </is>
      </c>
    </row>
    <row r="7" ht="20" customHeight="1">
      <c r="A7" s="4" t="inlineStr">
        <is>
          <t>Step 3</t>
        </is>
      </c>
      <c r="B7" s="5" t="inlineStr">
        <is>
          <t>Solve Problems on Arrays</t>
        </is>
      </c>
      <c r="C7" s="5" t="inlineStr">
        <is>
          <t>Easy, Medium, and Hard array manipulation &amp; algorithmic patterns</t>
        </is>
      </c>
      <c r="D7" s="4">
        <f>COUNTIF('All 476 Problems'!C5:C480, "*Step 3*")</f>
        <v/>
      </c>
      <c r="E7" s="6" t="inlineStr">
        <is>
          <t>In Progress</t>
        </is>
      </c>
    </row>
    <row r="8" ht="20" customHeight="1">
      <c r="A8" s="7" t="inlineStr">
        <is>
          <t>Step 4</t>
        </is>
      </c>
      <c r="B8" s="8" t="inlineStr">
        <is>
          <t>Binary Search</t>
        </is>
      </c>
      <c r="C8" s="8" t="inlineStr">
        <is>
          <t>1D Binary Search, Search Space/Answers, 2D Array Matrix Search</t>
        </is>
      </c>
      <c r="D8" s="7">
        <f>COUNTIF('All 476 Problems'!C5:C480, "*Step 4*")</f>
        <v/>
      </c>
      <c r="E8" s="9" t="inlineStr">
        <is>
          <t>In Progress</t>
        </is>
      </c>
    </row>
    <row r="9" ht="20" customHeight="1">
      <c r="A9" s="4" t="inlineStr">
        <is>
          <t>Step 5</t>
        </is>
      </c>
      <c r="B9" s="5" t="inlineStr">
        <is>
          <t>Strings [Basic and Medium]</t>
        </is>
      </c>
      <c r="C9" s="5" t="inlineStr">
        <is>
          <t>String transformations, palindrome, frequency, parsing</t>
        </is>
      </c>
      <c r="D9" s="4">
        <f>COUNTIF('All 476 Problems'!C5:C480, "*Step 5*")</f>
        <v/>
      </c>
      <c r="E9" s="6" t="inlineStr">
        <is>
          <t>In Progress</t>
        </is>
      </c>
    </row>
    <row r="10" ht="20" customHeight="1">
      <c r="A10" s="7" t="inlineStr">
        <is>
          <t>Step 6</t>
        </is>
      </c>
      <c r="B10" s="8" t="inlineStr">
        <is>
          <t>Learn LinkedList [Singly, Doubly, Medium, Hard]</t>
        </is>
      </c>
      <c r="C10" s="8" t="inlineStr">
        <is>
          <t>1D LL, Doubly LL, fast/slow pointer, reversal, flattening, cloning</t>
        </is>
      </c>
      <c r="D10" s="7">
        <f>COUNTIF('All 476 Problems'!C5:C480, "*Step 6*")</f>
        <v/>
      </c>
      <c r="E10" s="9" t="inlineStr">
        <is>
          <t>In Progress</t>
        </is>
      </c>
    </row>
    <row r="11" ht="20" customHeight="1">
      <c r="A11" s="4" t="inlineStr">
        <is>
          <t>Step 7</t>
        </is>
      </c>
      <c r="B11" s="5" t="inlineStr">
        <is>
          <t>Recursion [Pattern-wise]</t>
        </is>
      </c>
      <c r="C11" s="5" t="inlineStr">
        <is>
          <t>Subsequences, combination sums, backtracking, N-Queens, Sudoku</t>
        </is>
      </c>
      <c r="D11" s="4">
        <f>COUNTIF('All 476 Problems'!C5:C480, "*Step 7*")</f>
        <v/>
      </c>
      <c r="E11" s="6" t="inlineStr">
        <is>
          <t>In Progress</t>
        </is>
      </c>
    </row>
    <row r="12" ht="20" customHeight="1">
      <c r="A12" s="7" t="inlineStr">
        <is>
          <t>Step 8</t>
        </is>
      </c>
      <c r="B12" s="8" t="inlineStr">
        <is>
          <t>Bit Manipulation</t>
        </is>
      </c>
      <c r="C12" s="8" t="inlineStr">
        <is>
          <t>Bitwise operators, power sets, XOR properties, prime sieves</t>
        </is>
      </c>
      <c r="D12" s="7">
        <f>COUNTIF('All 476 Problems'!C5:C480, "*Step 8*")</f>
        <v/>
      </c>
      <c r="E12" s="9" t="inlineStr">
        <is>
          <t>In Progress</t>
        </is>
      </c>
    </row>
    <row r="13" ht="20" customHeight="1">
      <c r="A13" s="4" t="inlineStr">
        <is>
          <t>Step 9</t>
        </is>
      </c>
      <c r="B13" s="5" t="inlineStr">
        <is>
          <t>Stack and Queues</t>
        </is>
      </c>
      <c r="C13" s="5" t="inlineStr">
        <is>
          <t>Monotonic Stack/Queue, conversions, LRU/LFU cache, histograms</t>
        </is>
      </c>
      <c r="D13" s="4">
        <f>COUNTIF('All 476 Problems'!C5:C480, "*Step 9*")</f>
        <v/>
      </c>
      <c r="E13" s="6" t="inlineStr">
        <is>
          <t>In Progress</t>
        </is>
      </c>
    </row>
    <row r="14" ht="20" customHeight="1">
      <c r="A14" s="7" t="inlineStr">
        <is>
          <t>Step 10</t>
        </is>
      </c>
      <c r="B14" s="8" t="inlineStr">
        <is>
          <t>Sliding Window &amp; Two Pointer</t>
        </is>
      </c>
      <c r="C14" s="8" t="inlineStr">
        <is>
          <t>Substrings with conditions, variable and fixed size window patterns</t>
        </is>
      </c>
      <c r="D14" s="7">
        <f>COUNTIF('All 476 Problems'!C5:C480, "*Step 10*")</f>
        <v/>
      </c>
      <c r="E14" s="9" t="inlineStr">
        <is>
          <t>In Progress</t>
        </is>
      </c>
    </row>
    <row r="15" ht="20" customHeight="1">
      <c r="A15" s="4" t="inlineStr">
        <is>
          <t>Step 11</t>
        </is>
      </c>
      <c r="B15" s="5" t="inlineStr">
        <is>
          <t>Heaps [Learning, Medium, Hard]</t>
        </is>
      </c>
      <c r="C15" s="5" t="inlineStr">
        <is>
          <t>Priority Queues, Top-K, Median from Data Stream, K-sorted lists</t>
        </is>
      </c>
      <c r="D15" s="4">
        <f>COUNTIF('All 476 Problems'!C5:C480, "*Step 11*")</f>
        <v/>
      </c>
      <c r="E15" s="6" t="inlineStr">
        <is>
          <t>In Progress</t>
        </is>
      </c>
    </row>
    <row r="16" ht="20" customHeight="1">
      <c r="A16" s="7" t="inlineStr">
        <is>
          <t>Step 12</t>
        </is>
      </c>
      <c r="B16" s="8" t="inlineStr">
        <is>
          <t>Greedy Algorithms</t>
        </is>
      </c>
      <c r="C16" s="8" t="inlineStr">
        <is>
          <t>Activity selection, interval scheduling, knapsack, Jump Game</t>
        </is>
      </c>
      <c r="D16" s="7">
        <f>COUNTIF('All 476 Problems'!C5:C480, "*Step 12*")</f>
        <v/>
      </c>
      <c r="E16" s="9" t="inlineStr">
        <is>
          <t>In Progress</t>
        </is>
      </c>
    </row>
    <row r="17" ht="20" customHeight="1">
      <c r="A17" s="4" t="inlineStr">
        <is>
          <t>Step 13</t>
        </is>
      </c>
      <c r="B17" s="5" t="inlineStr">
        <is>
          <t>Binary Trees</t>
        </is>
      </c>
      <c r="C17" s="5" t="inlineStr">
        <is>
          <t>Traversals, Views, LCA, Width, Burn Tree, Construction, Morris traversal</t>
        </is>
      </c>
      <c r="D17" s="4">
        <f>COUNTIF('All 476 Problems'!C5:C480, "*Step 13*")</f>
        <v/>
      </c>
      <c r="E17" s="6" t="inlineStr">
        <is>
          <t>In Progress</t>
        </is>
      </c>
    </row>
    <row r="18" ht="20" customHeight="1">
      <c r="A18" s="7" t="inlineStr">
        <is>
          <t>Step 14</t>
        </is>
      </c>
      <c r="B18" s="8" t="inlineStr">
        <is>
          <t>Binary Search Trees</t>
        </is>
      </c>
      <c r="C18" s="8" t="inlineStr">
        <is>
          <t>BST validation, Floor/Ceil, Iterator, Correcting inverted nodes</t>
        </is>
      </c>
      <c r="D18" s="7">
        <f>COUNTIF('All 476 Problems'!C5:C480, "*Step 14*")</f>
        <v/>
      </c>
      <c r="E18" s="9" t="inlineStr">
        <is>
          <t>In Progress</t>
        </is>
      </c>
    </row>
    <row r="19" ht="20" customHeight="1">
      <c r="A19" s="4" t="inlineStr">
        <is>
          <t>Step 15</t>
        </is>
      </c>
      <c r="B19" s="5" t="inlineStr">
        <is>
          <t>Graphs</t>
        </is>
      </c>
      <c r="C19" s="5" t="inlineStr">
        <is>
          <t>BFS/DFS, Topological Sort, Dijkstra, Bellman-Ford, Floyd-Warshall, DSU, MST</t>
        </is>
      </c>
      <c r="D19" s="4">
        <f>COUNTIF('All 476 Problems'!C5:C480, "*Step 15*")</f>
        <v/>
      </c>
      <c r="E19" s="6" t="inlineStr">
        <is>
          <t>In Progress</t>
        </is>
      </c>
    </row>
    <row r="20" ht="20" customHeight="1">
      <c r="A20" s="7" t="inlineStr">
        <is>
          <t>Step 16</t>
        </is>
      </c>
      <c r="B20" s="8" t="inlineStr">
        <is>
          <t>Dynamic Programming</t>
        </is>
      </c>
      <c r="C20" s="8" t="inlineStr">
        <is>
          <t>1D, Grids, Subsequences, Strings, Stocks, LIS, MCM, Partition</t>
        </is>
      </c>
      <c r="D20" s="7">
        <f>COUNTIF('All 476 Problems'!C5:C480, "*Step 16*")</f>
        <v/>
      </c>
      <c r="E20" s="9" t="inlineStr">
        <is>
          <t>In Progress</t>
        </is>
      </c>
    </row>
    <row r="21" ht="20" customHeight="1">
      <c r="A21" s="4" t="inlineStr">
        <is>
          <t>Step 17</t>
        </is>
      </c>
      <c r="B21" s="5" t="inlineStr">
        <is>
          <t>Tries</t>
        </is>
      </c>
      <c r="C21" s="5" t="inlineStr">
        <is>
          <t>Prefix tree insert/search, word dictionary, XOR optimization</t>
        </is>
      </c>
      <c r="D21" s="4">
        <f>COUNTIF('All 476 Problems'!C5:C480, "*Step 17*")</f>
        <v/>
      </c>
      <c r="E21" s="6" t="inlineStr">
        <is>
          <t>In Progress</t>
        </is>
      </c>
    </row>
    <row r="22" ht="20" customHeight="1">
      <c r="A22" s="7" t="inlineStr">
        <is>
          <t>Step 18</t>
        </is>
      </c>
      <c r="B22" s="8" t="inlineStr">
        <is>
          <t>Advanced Strings</t>
        </is>
      </c>
      <c r="C22" s="8" t="inlineStr">
        <is>
          <t>KMP, Rabin-Karp, Z-Algorithm, Longest prefix matching</t>
        </is>
      </c>
      <c r="D22" s="7">
        <f>COUNTIF('All 476 Problems'!C5:C480, "*Step 18*")</f>
        <v/>
      </c>
      <c r="E22" s="9" t="inlineStr">
        <is>
          <t>In Progress</t>
        </is>
      </c>
    </row>
    <row r="23" ht="22" customHeight="1">
      <c r="A23" s="10" t="inlineStr">
        <is>
          <t>Total</t>
        </is>
      </c>
      <c r="B23" s="11" t="inlineStr">
        <is>
          <t>All 18 Major Steps</t>
        </is>
      </c>
      <c r="C23" s="11" t="inlineStr">
        <is>
          <t>Full A2Z Roadmap Syllabus</t>
        </is>
      </c>
      <c r="D23" s="10">
        <f>SUM(D5:D22)</f>
        <v/>
      </c>
      <c r="E23" s="10" t="inlineStr">
        <is>
          <t>Master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26" customWidth="1" min="4" max="4"/>
    <col width="50" customWidth="1" min="5" max="5"/>
    <col width="14" customWidth="1" min="6" max="6"/>
    <col width="22" customWidth="1" min="7" max="7"/>
    <col width="22" customWidth="1" min="8" max="8"/>
  </cols>
  <sheetData>
    <row r="1" ht="26" customHeight="1">
      <c r="A1" s="1" t="inlineStr">
        <is>
          <t>Striver's A2Z DSA Sheet - Complete 476 Problem Master Tracker</t>
        </is>
      </c>
    </row>
    <row r="2" ht="18" customHeight="1">
      <c r="A2" s="2" t="inlineStr">
        <is>
          <t>Systematic syllabus mapping every concept and practice problem with its corresponding LeetCode problem link</t>
        </is>
      </c>
    </row>
    <row r="4" ht="24" customHeight="1">
      <c r="A4" s="3" t="inlineStr">
        <is>
          <t>ID</t>
        </is>
      </c>
      <c r="B4" s="3" t="inlineStr">
        <is>
          <t>Status</t>
        </is>
      </c>
      <c r="C4" s="3" t="inlineStr">
        <is>
          <t>Step / Phase</t>
        </is>
      </c>
      <c r="D4" s="3" t="inlineStr">
        <is>
          <t>Topic / Sub-step</t>
        </is>
      </c>
      <c r="E4" s="3" t="inlineStr">
        <is>
          <t>Problem Name</t>
        </is>
      </c>
      <c r="F4" s="3" t="inlineStr">
        <is>
          <t>Difficulty</t>
        </is>
      </c>
      <c r="G4" s="3" t="inlineStr">
        <is>
          <t>LeetCode URL</t>
        </is>
      </c>
      <c r="H4" s="3" t="inlineStr">
        <is>
          <t>YouTube Solution Link</t>
        </is>
      </c>
    </row>
    <row r="5" ht="20" customHeight="1">
      <c r="A5" s="4" t="n">
        <v>1</v>
      </c>
      <c r="B5" s="4" t="inlineStr">
        <is>
          <t>Todo</t>
        </is>
      </c>
      <c r="C5" s="5" t="inlineStr">
        <is>
          <t>Step 1: Learn the Basics</t>
        </is>
      </c>
      <c r="D5" s="5" t="inlineStr">
        <is>
          <t>Basic Maths</t>
        </is>
      </c>
      <c r="E5" s="5" t="inlineStr">
        <is>
          <t>Count Digits</t>
        </is>
      </c>
      <c r="F5" s="12" t="inlineStr">
        <is>
          <t>Easy</t>
        </is>
      </c>
      <c r="G5" s="13">
        <f>HYPERLINK("https://leetcode.com/problems/count-digits/", "LeetCode Practice")</f>
        <v/>
      </c>
      <c r="H5" s="20">
        <f>HYPERLINK("https://www.youtube.com/results?search_query=takeUforward+Count+Digits", "YouTube Video")</f>
        <v/>
      </c>
    </row>
    <row r="6" ht="20" customHeight="1">
      <c r="A6" s="7" t="n">
        <v>2</v>
      </c>
      <c r="B6" s="7" t="inlineStr">
        <is>
          <t>Todo</t>
        </is>
      </c>
      <c r="C6" s="8" t="inlineStr">
        <is>
          <t>Step 1: Learn the Basics</t>
        </is>
      </c>
      <c r="D6" s="8" t="inlineStr">
        <is>
          <t>Basic Maths</t>
        </is>
      </c>
      <c r="E6" s="8" t="inlineStr">
        <is>
          <t>Reverse a Number</t>
        </is>
      </c>
      <c r="F6" s="14" t="inlineStr">
        <is>
          <t>Medium</t>
        </is>
      </c>
      <c r="G6" s="15">
        <f>HYPERLINK("https://leetcode.com/problems/reverse-integer/", "LeetCode Practice")</f>
        <v/>
      </c>
      <c r="H6" s="21">
        <f>HYPERLINK("https://www.youtube.com/results?search_query=takeUforward+Reverse+a+Number", "YouTube Video")</f>
        <v/>
      </c>
    </row>
    <row r="7" ht="20" customHeight="1">
      <c r="A7" s="4" t="n">
        <v>3</v>
      </c>
      <c r="B7" s="4" t="inlineStr">
        <is>
          <t>Todo</t>
        </is>
      </c>
      <c r="C7" s="5" t="inlineStr">
        <is>
          <t>Step 1: Learn the Basics</t>
        </is>
      </c>
      <c r="D7" s="5" t="inlineStr">
        <is>
          <t>Basic Maths</t>
        </is>
      </c>
      <c r="E7" s="5" t="inlineStr">
        <is>
          <t>Check Palindrome</t>
        </is>
      </c>
      <c r="F7" s="12" t="inlineStr">
        <is>
          <t>Easy</t>
        </is>
      </c>
      <c r="G7" s="13">
        <f>HYPERLINK("https://leetcode.com/problems/palindrome-number/", "LeetCode Practice")</f>
        <v/>
      </c>
      <c r="H7" s="20">
        <f>HYPERLINK("https://www.youtube.com/results?search_query=takeUforward+Check+Palindrome", "YouTube Video")</f>
        <v/>
      </c>
    </row>
    <row r="8" ht="20" customHeight="1">
      <c r="A8" s="7" t="n">
        <v>4</v>
      </c>
      <c r="B8" s="7" t="inlineStr">
        <is>
          <t>Todo</t>
        </is>
      </c>
      <c r="C8" s="8" t="inlineStr">
        <is>
          <t>Step 1: Learn the Basics</t>
        </is>
      </c>
      <c r="D8" s="8" t="inlineStr">
        <is>
          <t>Basic Maths</t>
        </is>
      </c>
      <c r="E8" s="8" t="inlineStr">
        <is>
          <t>GCD Or HCF</t>
        </is>
      </c>
      <c r="F8" s="16" t="inlineStr">
        <is>
          <t>Easy</t>
        </is>
      </c>
      <c r="G8" s="15">
        <f>HYPERLINK("https://leetcode.com/problems/find-greatest-common-divisor-of-array/", "LeetCode Practice")</f>
        <v/>
      </c>
      <c r="H8" s="21">
        <f>HYPERLINK("https://www.youtube.com/results?search_query=takeUforward+GCD+Or+HCF", "YouTube Video")</f>
        <v/>
      </c>
    </row>
    <row r="9" ht="20" customHeight="1">
      <c r="A9" s="4" t="n">
        <v>5</v>
      </c>
      <c r="B9" s="4" t="inlineStr">
        <is>
          <t>Todo</t>
        </is>
      </c>
      <c r="C9" s="5" t="inlineStr">
        <is>
          <t>Step 1: Learn the Basics</t>
        </is>
      </c>
      <c r="D9" s="5" t="inlineStr">
        <is>
          <t>Basic Maths</t>
        </is>
      </c>
      <c r="E9" s="5" t="inlineStr">
        <is>
          <t>Armstrong Numbers</t>
        </is>
      </c>
      <c r="F9" s="12" t="inlineStr">
        <is>
          <t>Easy</t>
        </is>
      </c>
      <c r="G9" s="13">
        <f>HYPERLINK("https://leetcode.com/problems/armstrong-number/", "LeetCode Practice")</f>
        <v/>
      </c>
      <c r="H9" s="20">
        <f>HYPERLINK("https://www.youtube.com/results?search_query=takeUforward+Armstrong+Numbers", "YouTube Video")</f>
        <v/>
      </c>
    </row>
    <row r="10" ht="20" customHeight="1">
      <c r="A10" s="7" t="n">
        <v>6</v>
      </c>
      <c r="B10" s="7" t="inlineStr">
        <is>
          <t>Todo</t>
        </is>
      </c>
      <c r="C10" s="8" t="inlineStr">
        <is>
          <t>Step 1: Learn the Basics</t>
        </is>
      </c>
      <c r="D10" s="8" t="inlineStr">
        <is>
          <t>Basic Maths</t>
        </is>
      </c>
      <c r="E10" s="8" t="inlineStr">
        <is>
          <t>Print all Divisors</t>
        </is>
      </c>
      <c r="F10" s="16" t="inlineStr">
        <is>
          <t>Easy</t>
        </is>
      </c>
      <c r="G10" s="15">
        <f>HYPERLINK("https://leetcode.com/problems/three-divisors/", "LeetCode Practice")</f>
        <v/>
      </c>
      <c r="H10" s="21">
        <f>HYPERLINK("https://www.youtube.com/results?search_query=takeUforward+Print+all+Divisors", "YouTube Video")</f>
        <v/>
      </c>
    </row>
    <row r="11" ht="20" customHeight="1">
      <c r="A11" s="4" t="n">
        <v>7</v>
      </c>
      <c r="B11" s="4" t="inlineStr">
        <is>
          <t>Todo</t>
        </is>
      </c>
      <c r="C11" s="5" t="inlineStr">
        <is>
          <t>Step 1: Learn the Basics</t>
        </is>
      </c>
      <c r="D11" s="5" t="inlineStr">
        <is>
          <t>Basic Maths</t>
        </is>
      </c>
      <c r="E11" s="5" t="inlineStr">
        <is>
          <t>Check for Prime</t>
        </is>
      </c>
      <c r="F11" s="12" t="inlineStr">
        <is>
          <t>Easy</t>
        </is>
      </c>
      <c r="G11" s="13">
        <f>HYPERLINK("https://leetcode.com/problems/count-primes/", "LeetCode Practice")</f>
        <v/>
      </c>
      <c r="H11" s="20">
        <f>HYPERLINK("https://www.youtube.com/results?search_query=takeUforward+Check+for+Prime", "YouTube Video")</f>
        <v/>
      </c>
    </row>
    <row r="12" ht="20" customHeight="1">
      <c r="A12" s="7" t="n">
        <v>8</v>
      </c>
      <c r="B12" s="7" t="inlineStr">
        <is>
          <t>Todo</t>
        </is>
      </c>
      <c r="C12" s="8" t="inlineStr">
        <is>
          <t>Step 1: Learn the Basics</t>
        </is>
      </c>
      <c r="D12" s="8" t="inlineStr">
        <is>
          <t>Basic Recursion</t>
        </is>
      </c>
      <c r="E12" s="8" t="inlineStr">
        <is>
          <t>Understand Recursion by Print 1 to N</t>
        </is>
      </c>
      <c r="F12" s="16" t="inlineStr">
        <is>
          <t>Easy</t>
        </is>
      </c>
      <c r="G12" s="15">
        <f>HYPERLINK("https://leetcode.com/problems/print-in-order/", "LeetCode Practice")</f>
        <v/>
      </c>
      <c r="H12" s="21">
        <f>HYPERLINK("https://www.youtube.com/results?search_query=takeUforward+Understand+Recursion+by+Print+1+to+N", "YouTube Video")</f>
        <v/>
      </c>
    </row>
    <row r="13" ht="20" customHeight="1">
      <c r="A13" s="4" t="n">
        <v>9</v>
      </c>
      <c r="B13" s="4" t="inlineStr">
        <is>
          <t>Todo</t>
        </is>
      </c>
      <c r="C13" s="5" t="inlineStr">
        <is>
          <t>Step 1: Learn the Basics</t>
        </is>
      </c>
      <c r="D13" s="5" t="inlineStr">
        <is>
          <t>Basic Recursion</t>
        </is>
      </c>
      <c r="E13" s="5" t="inlineStr">
        <is>
          <t>Print N to 1 using Recursion</t>
        </is>
      </c>
      <c r="F13" s="12" t="inlineStr">
        <is>
          <t>Easy</t>
        </is>
      </c>
      <c r="G13" s="13">
        <f>HYPERLINK("https://leetcode.com/problems/fizz-buzz/", "LeetCode Practice")</f>
        <v/>
      </c>
      <c r="H13" s="20">
        <f>HYPERLINK("https://www.youtube.com/results?search_query=takeUforward+Print+N+to+1+using+Recursion", "YouTube Video")</f>
        <v/>
      </c>
    </row>
    <row r="14" ht="20" customHeight="1">
      <c r="A14" s="7" t="n">
        <v>10</v>
      </c>
      <c r="B14" s="7" t="inlineStr">
        <is>
          <t>Todo</t>
        </is>
      </c>
      <c r="C14" s="8" t="inlineStr">
        <is>
          <t>Step 1: Learn the Basics</t>
        </is>
      </c>
      <c r="D14" s="8" t="inlineStr">
        <is>
          <t>Basic Recursion</t>
        </is>
      </c>
      <c r="E14" s="8" t="inlineStr">
        <is>
          <t>Sum of first N numbers</t>
        </is>
      </c>
      <c r="F14" s="16" t="inlineStr">
        <is>
          <t>Easy</t>
        </is>
      </c>
      <c r="G14" s="15">
        <f>HYPERLINK("https://leetcode.com/problems/running-sum-of-1d-array/", "LeetCode Practice")</f>
        <v/>
      </c>
      <c r="H14" s="21">
        <f>HYPERLINK("https://www.youtube.com/results?search_query=takeUforward+Sum+of+first+N+numbers", "YouTube Video")</f>
        <v/>
      </c>
    </row>
    <row r="15" ht="20" customHeight="1">
      <c r="A15" s="4" t="n">
        <v>11</v>
      </c>
      <c r="B15" s="4" t="inlineStr">
        <is>
          <t>Todo</t>
        </is>
      </c>
      <c r="C15" s="5" t="inlineStr">
        <is>
          <t>Step 1: Learn the Basics</t>
        </is>
      </c>
      <c r="D15" s="5" t="inlineStr">
        <is>
          <t>Basic Recursion</t>
        </is>
      </c>
      <c r="E15" s="5" t="inlineStr">
        <is>
          <t>Factorial of N numbers</t>
        </is>
      </c>
      <c r="F15" s="12" t="inlineStr">
        <is>
          <t>Easy</t>
        </is>
      </c>
      <c r="G15" s="13">
        <f>HYPERLINK("https://leetcode.com/problems/climbing-stairs/", "LeetCode Practice")</f>
        <v/>
      </c>
      <c r="H15" s="20">
        <f>HYPERLINK("https://www.youtube.com/results?search_query=takeUforward+Factorial+of+N+numbers", "YouTube Video")</f>
        <v/>
      </c>
    </row>
    <row r="16" ht="20" customHeight="1">
      <c r="A16" s="7" t="n">
        <v>12</v>
      </c>
      <c r="B16" s="7" t="inlineStr">
        <is>
          <t>Todo</t>
        </is>
      </c>
      <c r="C16" s="8" t="inlineStr">
        <is>
          <t>Step 1: Learn the Basics</t>
        </is>
      </c>
      <c r="D16" s="8" t="inlineStr">
        <is>
          <t>Basic Recursion</t>
        </is>
      </c>
      <c r="E16" s="8" t="inlineStr">
        <is>
          <t>Reverse an Array</t>
        </is>
      </c>
      <c r="F16" s="16" t="inlineStr">
        <is>
          <t>Easy</t>
        </is>
      </c>
      <c r="G16" s="15">
        <f>HYPERLINK("https://leetcode.com/problems/reverse-string/", "LeetCode Practice")</f>
        <v/>
      </c>
      <c r="H16" s="21">
        <f>HYPERLINK("https://www.youtube.com/results?search_query=takeUforward+Reverse+an+Array", "YouTube Video")</f>
        <v/>
      </c>
    </row>
    <row r="17" ht="20" customHeight="1">
      <c r="A17" s="4" t="n">
        <v>13</v>
      </c>
      <c r="B17" s="4" t="inlineStr">
        <is>
          <t>Todo</t>
        </is>
      </c>
      <c r="C17" s="5" t="inlineStr">
        <is>
          <t>Step 1: Learn the Basics</t>
        </is>
      </c>
      <c r="D17" s="5" t="inlineStr">
        <is>
          <t>Basic Recursion</t>
        </is>
      </c>
      <c r="E17" s="5" t="inlineStr">
        <is>
          <t>Check if a String is Palindrome</t>
        </is>
      </c>
      <c r="F17" s="12" t="inlineStr">
        <is>
          <t>Easy</t>
        </is>
      </c>
      <c r="G17" s="13">
        <f>HYPERLINK("https://leetcode.com/problems/valid-palindrome/", "LeetCode Practice")</f>
        <v/>
      </c>
      <c r="H17" s="20">
        <f>HYPERLINK("https://www.youtube.com/results?search_query=takeUforward+Check+if+a+String+is+Palindrome", "YouTube Video")</f>
        <v/>
      </c>
    </row>
    <row r="18" ht="20" customHeight="1">
      <c r="A18" s="7" t="n">
        <v>14</v>
      </c>
      <c r="B18" s="7" t="inlineStr">
        <is>
          <t>Todo</t>
        </is>
      </c>
      <c r="C18" s="8" t="inlineStr">
        <is>
          <t>Step 1: Learn the Basics</t>
        </is>
      </c>
      <c r="D18" s="8" t="inlineStr">
        <is>
          <t>Basic Recursion</t>
        </is>
      </c>
      <c r="E18" s="8" t="inlineStr">
        <is>
          <t>Fibonacci Number</t>
        </is>
      </c>
      <c r="F18" s="16" t="inlineStr">
        <is>
          <t>Easy</t>
        </is>
      </c>
      <c r="G18" s="15">
        <f>HYPERLINK("https://leetcode.com/problems/fibonacci-number/", "LeetCode Practice")</f>
        <v/>
      </c>
      <c r="H18" s="21">
        <f>HYPERLINK("https://www.youtube.com/results?search_query=takeUforward+Fibonacci+Number", "YouTube Video")</f>
        <v/>
      </c>
    </row>
    <row r="19" ht="20" customHeight="1">
      <c r="A19" s="4" t="n">
        <v>15</v>
      </c>
      <c r="B19" s="4" t="inlineStr">
        <is>
          <t>Todo</t>
        </is>
      </c>
      <c r="C19" s="5" t="inlineStr">
        <is>
          <t>Step 1: Learn the Basics</t>
        </is>
      </c>
      <c r="D19" s="5" t="inlineStr">
        <is>
          <t>Basic Hashing</t>
        </is>
      </c>
      <c r="E19" s="5" t="inlineStr">
        <is>
          <t>Counting Frequencies of Array Elements</t>
        </is>
      </c>
      <c r="F19" s="12" t="inlineStr">
        <is>
          <t>Easy</t>
        </is>
      </c>
      <c r="G19" s="13">
        <f>HYPERLINK("https://leetcode.com/problems/frequency-of-the-most-frequent-element/", "LeetCode Practice")</f>
        <v/>
      </c>
      <c r="H19" s="20">
        <f>HYPERLINK("https://www.youtube.com/results?search_query=takeUforward+Counting+Frequencies+of+Array+Elements", "YouTube Video")</f>
        <v/>
      </c>
    </row>
    <row r="20" ht="20" customHeight="1">
      <c r="A20" s="7" t="n">
        <v>16</v>
      </c>
      <c r="B20" s="7" t="inlineStr">
        <is>
          <t>Todo</t>
        </is>
      </c>
      <c r="C20" s="8" t="inlineStr">
        <is>
          <t>Step 1: Learn the Basics</t>
        </is>
      </c>
      <c r="D20" s="8" t="inlineStr">
        <is>
          <t>Basic Hashing</t>
        </is>
      </c>
      <c r="E20" s="8" t="inlineStr">
        <is>
          <t>Find the Highest/Lowest Frequency Element</t>
        </is>
      </c>
      <c r="F20" s="16" t="inlineStr">
        <is>
          <t>Easy</t>
        </is>
      </c>
      <c r="G20" s="15">
        <f>HYPERLINK("https://leetcode.com/problems/top-k-frequent-elements/", "LeetCode Practice")</f>
        <v/>
      </c>
      <c r="H20" s="21">
        <f>HYPERLINK("https://www.youtube.com/results?search_query=takeUforward+Find+the+Highest+Lowest+Frequency+Element", "YouTube Video")</f>
        <v/>
      </c>
    </row>
    <row r="21" ht="20" customHeight="1">
      <c r="A21" s="4" t="n">
        <v>17</v>
      </c>
      <c r="B21" s="4" t="inlineStr">
        <is>
          <t>Todo</t>
        </is>
      </c>
      <c r="C21" s="5" t="inlineStr">
        <is>
          <t>Step 2: Sorting Techniques</t>
        </is>
      </c>
      <c r="D21" s="5" t="inlineStr">
        <is>
          <t>Sorting-I</t>
        </is>
      </c>
      <c r="E21" s="5" t="inlineStr">
        <is>
          <t>Selection Sort</t>
        </is>
      </c>
      <c r="F21" s="12" t="inlineStr">
        <is>
          <t>Easy</t>
        </is>
      </c>
      <c r="G21" s="13">
        <f>HYPERLINK("https://leetcode.com/problems/sort-an-array/", "LeetCode Practice")</f>
        <v/>
      </c>
      <c r="H21" s="20">
        <f>HYPERLINK("https://www.youtube.com/results?search_query=takeUforward+Selection+Sort", "YouTube Video")</f>
        <v/>
      </c>
    </row>
    <row r="22" ht="20" customHeight="1">
      <c r="A22" s="7" t="n">
        <v>18</v>
      </c>
      <c r="B22" s="7" t="inlineStr">
        <is>
          <t>Todo</t>
        </is>
      </c>
      <c r="C22" s="8" t="inlineStr">
        <is>
          <t>Step 2: Sorting Techniques</t>
        </is>
      </c>
      <c r="D22" s="8" t="inlineStr">
        <is>
          <t>Sorting-I</t>
        </is>
      </c>
      <c r="E22" s="8" t="inlineStr">
        <is>
          <t>Bubble Sort</t>
        </is>
      </c>
      <c r="F22" s="16" t="inlineStr">
        <is>
          <t>Easy</t>
        </is>
      </c>
      <c r="G22" s="15">
        <f>HYPERLINK("https://leetcode.com/problems/sort-an-array/", "LeetCode Practice")</f>
        <v/>
      </c>
      <c r="H22" s="21">
        <f>HYPERLINK("https://www.youtube.com/results?search_query=takeUforward+Bubble+Sort", "YouTube Video")</f>
        <v/>
      </c>
    </row>
    <row r="23" ht="20" customHeight="1">
      <c r="A23" s="4" t="n">
        <v>19</v>
      </c>
      <c r="B23" s="4" t="inlineStr">
        <is>
          <t>Todo</t>
        </is>
      </c>
      <c r="C23" s="5" t="inlineStr">
        <is>
          <t>Step 2: Sorting Techniques</t>
        </is>
      </c>
      <c r="D23" s="5" t="inlineStr">
        <is>
          <t>Sorting-I</t>
        </is>
      </c>
      <c r="E23" s="5" t="inlineStr">
        <is>
          <t>Insertion Sort</t>
        </is>
      </c>
      <c r="F23" s="12" t="inlineStr">
        <is>
          <t>Easy</t>
        </is>
      </c>
      <c r="G23" s="13">
        <f>HYPERLINK("https://leetcode.com/problems/insertion-sort-list/", "LeetCode Practice")</f>
        <v/>
      </c>
      <c r="H23" s="20">
        <f>HYPERLINK("https://www.youtube.com/results?search_query=takeUforward+Insertion+Sort", "YouTube Video")</f>
        <v/>
      </c>
    </row>
    <row r="24" ht="20" customHeight="1">
      <c r="A24" s="7" t="n">
        <v>20</v>
      </c>
      <c r="B24" s="7" t="inlineStr">
        <is>
          <t>Todo</t>
        </is>
      </c>
      <c r="C24" s="8" t="inlineStr">
        <is>
          <t>Step 2: Sorting Techniques</t>
        </is>
      </c>
      <c r="D24" s="8" t="inlineStr">
        <is>
          <t>Sorting-II</t>
        </is>
      </c>
      <c r="E24" s="8" t="inlineStr">
        <is>
          <t>Merge Sort</t>
        </is>
      </c>
      <c r="F24" s="14" t="inlineStr">
        <is>
          <t>Medium</t>
        </is>
      </c>
      <c r="G24" s="15">
        <f>HYPERLINK("https://leetcode.com/problems/sort-an-array/", "LeetCode Practice")</f>
        <v/>
      </c>
      <c r="H24" s="21">
        <f>HYPERLINK("https://www.youtube.com/results?search_query=takeUforward+Merge+Sort", "YouTube Video")</f>
        <v/>
      </c>
    </row>
    <row r="25" ht="20" customHeight="1">
      <c r="A25" s="4" t="n">
        <v>21</v>
      </c>
      <c r="B25" s="4" t="inlineStr">
        <is>
          <t>Todo</t>
        </is>
      </c>
      <c r="C25" s="5" t="inlineStr">
        <is>
          <t>Step 2: Sorting Techniques</t>
        </is>
      </c>
      <c r="D25" s="5" t="inlineStr">
        <is>
          <t>Sorting-II</t>
        </is>
      </c>
      <c r="E25" s="5" t="inlineStr">
        <is>
          <t>Recursive Bubble Sort</t>
        </is>
      </c>
      <c r="F25" s="12" t="inlineStr">
        <is>
          <t>Easy</t>
        </is>
      </c>
      <c r="G25" s="13">
        <f>HYPERLINK("https://leetcode.com/problems/sort-colors/", "LeetCode Practice")</f>
        <v/>
      </c>
      <c r="H25" s="20">
        <f>HYPERLINK("https://www.youtube.com/results?search_query=takeUforward+Recursive+Bubble+Sort", "YouTube Video")</f>
        <v/>
      </c>
    </row>
    <row r="26" ht="20" customHeight="1">
      <c r="A26" s="7" t="n">
        <v>22</v>
      </c>
      <c r="B26" s="7" t="inlineStr">
        <is>
          <t>Todo</t>
        </is>
      </c>
      <c r="C26" s="8" t="inlineStr">
        <is>
          <t>Step 2: Sorting Techniques</t>
        </is>
      </c>
      <c r="D26" s="8" t="inlineStr">
        <is>
          <t>Sorting-II</t>
        </is>
      </c>
      <c r="E26" s="8" t="inlineStr">
        <is>
          <t>Recursive Insertion Sort</t>
        </is>
      </c>
      <c r="F26" s="16" t="inlineStr">
        <is>
          <t>Easy</t>
        </is>
      </c>
      <c r="G26" s="15">
        <f>HYPERLINK("https://leetcode.com/problems/sort-an-array/", "LeetCode Practice")</f>
        <v/>
      </c>
      <c r="H26" s="21">
        <f>HYPERLINK("https://www.youtube.com/results?search_query=takeUforward+Recursive+Insertion+Sort", "YouTube Video")</f>
        <v/>
      </c>
    </row>
    <row r="27" ht="20" customHeight="1">
      <c r="A27" s="4" t="n">
        <v>23</v>
      </c>
      <c r="B27" s="4" t="inlineStr">
        <is>
          <t>Todo</t>
        </is>
      </c>
      <c r="C27" s="5" t="inlineStr">
        <is>
          <t>Step 2: Sorting Techniques</t>
        </is>
      </c>
      <c r="D27" s="5" t="inlineStr">
        <is>
          <t>Sorting-II</t>
        </is>
      </c>
      <c r="E27" s="5" t="inlineStr">
        <is>
          <t>Quick Sort</t>
        </is>
      </c>
      <c r="F27" s="17" t="inlineStr">
        <is>
          <t>Medium</t>
        </is>
      </c>
      <c r="G27" s="13">
        <f>HYPERLINK("https://leetcode.com/problems/sort-an-array/", "LeetCode Practice")</f>
        <v/>
      </c>
      <c r="H27" s="20">
        <f>HYPERLINK("https://www.youtube.com/results?search_query=takeUforward+Quick+Sort", "YouTube Video")</f>
        <v/>
      </c>
    </row>
    <row r="28" ht="20" customHeight="1">
      <c r="A28" s="7" t="n">
        <v>24</v>
      </c>
      <c r="B28" s="7" t="inlineStr">
        <is>
          <t>Todo</t>
        </is>
      </c>
      <c r="C28" s="8" t="inlineStr">
        <is>
          <t>Step 3: Arrays</t>
        </is>
      </c>
      <c r="D28" s="8" t="inlineStr">
        <is>
          <t>Easy</t>
        </is>
      </c>
      <c r="E28" s="8" t="inlineStr">
        <is>
          <t>Largest Element in an Array</t>
        </is>
      </c>
      <c r="F28" s="16" t="inlineStr">
        <is>
          <t>Easy</t>
        </is>
      </c>
      <c r="G28" s="15">
        <f>HYPERLINK("https://leetcode.com/problems/third-maximum-number/", "LeetCode Practice")</f>
        <v/>
      </c>
      <c r="H28" s="21">
        <f>HYPERLINK("https://www.youtube.com/results?search_query=takeUforward+Largest+Element+in+an+Array", "YouTube Video")</f>
        <v/>
      </c>
    </row>
    <row r="29" ht="20" customHeight="1">
      <c r="A29" s="4" t="n">
        <v>25</v>
      </c>
      <c r="B29" s="4" t="inlineStr">
        <is>
          <t>Todo</t>
        </is>
      </c>
      <c r="C29" s="5" t="inlineStr">
        <is>
          <t>Step 3: Arrays</t>
        </is>
      </c>
      <c r="D29" s="5" t="inlineStr">
        <is>
          <t>Easy</t>
        </is>
      </c>
      <c r="E29" s="5" t="inlineStr">
        <is>
          <t>Second Largest Element in an Array</t>
        </is>
      </c>
      <c r="F29" s="12" t="inlineStr">
        <is>
          <t>Easy</t>
        </is>
      </c>
      <c r="G29" s="13">
        <f>HYPERLINK("https://leetcode.com/problems/second-minimum-node-in-a-binary-tree/", "LeetCode Practice")</f>
        <v/>
      </c>
      <c r="H29" s="20">
        <f>HYPERLINK("https://www.youtube.com/results?search_query=takeUforward+Second+Largest+Element+in+an+Array", "YouTube Video")</f>
        <v/>
      </c>
    </row>
    <row r="30" ht="20" customHeight="1">
      <c r="A30" s="7" t="n">
        <v>26</v>
      </c>
      <c r="B30" s="7" t="inlineStr">
        <is>
          <t>Todo</t>
        </is>
      </c>
      <c r="C30" s="8" t="inlineStr">
        <is>
          <t>Step 3: Arrays</t>
        </is>
      </c>
      <c r="D30" s="8" t="inlineStr">
        <is>
          <t>Easy</t>
        </is>
      </c>
      <c r="E30" s="8" t="inlineStr">
        <is>
          <t>Check if the array is sorted</t>
        </is>
      </c>
      <c r="F30" s="16" t="inlineStr">
        <is>
          <t>Easy</t>
        </is>
      </c>
      <c r="G30" s="15">
        <f>HYPERLINK("https://leetcode.com/problems/check-if-array-is-sorted-and-rotated/", "LeetCode Practice")</f>
        <v/>
      </c>
      <c r="H30" s="21">
        <f>HYPERLINK("https://www.youtube.com/results?search_query=takeUforward+Check+if+the+array+is+sorted", "YouTube Video")</f>
        <v/>
      </c>
    </row>
    <row r="31" ht="20" customHeight="1">
      <c r="A31" s="4" t="n">
        <v>27</v>
      </c>
      <c r="B31" s="4" t="inlineStr">
        <is>
          <t>Todo</t>
        </is>
      </c>
      <c r="C31" s="5" t="inlineStr">
        <is>
          <t>Step 3: Arrays</t>
        </is>
      </c>
      <c r="D31" s="5" t="inlineStr">
        <is>
          <t>Easy</t>
        </is>
      </c>
      <c r="E31" s="5" t="inlineStr">
        <is>
          <t>Remove duplicates from Sorted array</t>
        </is>
      </c>
      <c r="F31" s="12" t="inlineStr">
        <is>
          <t>Easy</t>
        </is>
      </c>
      <c r="G31" s="13">
        <f>HYPERLINK("https://leetcode.com/problems/remove-duplicates-from-sorted-array/", "LeetCode Practice")</f>
        <v/>
      </c>
      <c r="H31" s="20">
        <f>HYPERLINK("https://www.youtube.com/results?search_query=takeUforward+Remove+duplicates+from+Sorted+array", "YouTube Video")</f>
        <v/>
      </c>
    </row>
    <row r="32" ht="20" customHeight="1">
      <c r="A32" s="7" t="n">
        <v>28</v>
      </c>
      <c r="B32" s="7" t="inlineStr">
        <is>
          <t>Todo</t>
        </is>
      </c>
      <c r="C32" s="8" t="inlineStr">
        <is>
          <t>Step 3: Arrays</t>
        </is>
      </c>
      <c r="D32" s="8" t="inlineStr">
        <is>
          <t>Easy</t>
        </is>
      </c>
      <c r="E32" s="8" t="inlineStr">
        <is>
          <t>Left Rotate an array by one place</t>
        </is>
      </c>
      <c r="F32" s="16" t="inlineStr">
        <is>
          <t>Easy</t>
        </is>
      </c>
      <c r="G32" s="15">
        <f>HYPERLINK("https://leetcode.com/problems/rotate-array/", "LeetCode Practice")</f>
        <v/>
      </c>
      <c r="H32" s="21">
        <f>HYPERLINK("https://www.youtube.com/results?search_query=takeUforward+Left+Rotate+an+array+by+one+place", "YouTube Video")</f>
        <v/>
      </c>
    </row>
    <row r="33" ht="20" customHeight="1">
      <c r="A33" s="4" t="n">
        <v>29</v>
      </c>
      <c r="B33" s="4" t="inlineStr">
        <is>
          <t>Todo</t>
        </is>
      </c>
      <c r="C33" s="5" t="inlineStr">
        <is>
          <t>Step 3: Arrays</t>
        </is>
      </c>
      <c r="D33" s="5" t="inlineStr">
        <is>
          <t>Easy</t>
        </is>
      </c>
      <c r="E33" s="5" t="inlineStr">
        <is>
          <t>Left rotate an array by D places</t>
        </is>
      </c>
      <c r="F33" s="17" t="inlineStr">
        <is>
          <t>Medium</t>
        </is>
      </c>
      <c r="G33" s="13">
        <f>HYPERLINK("https://leetcode.com/problems/rotate-array/", "LeetCode Practice")</f>
        <v/>
      </c>
      <c r="H33" s="20">
        <f>HYPERLINK("https://www.youtube.com/results?search_query=takeUforward+Left+rotate+an+array+by+D+places", "YouTube Video")</f>
        <v/>
      </c>
    </row>
    <row r="34" ht="20" customHeight="1">
      <c r="A34" s="7" t="n">
        <v>30</v>
      </c>
      <c r="B34" s="7" t="inlineStr">
        <is>
          <t>Todo</t>
        </is>
      </c>
      <c r="C34" s="8" t="inlineStr">
        <is>
          <t>Step 3: Arrays</t>
        </is>
      </c>
      <c r="D34" s="8" t="inlineStr">
        <is>
          <t>Easy</t>
        </is>
      </c>
      <c r="E34" s="8" t="inlineStr">
        <is>
          <t>Move Zeros to end</t>
        </is>
      </c>
      <c r="F34" s="16" t="inlineStr">
        <is>
          <t>Easy</t>
        </is>
      </c>
      <c r="G34" s="15">
        <f>HYPERLINK("https://leetcode.com/problems/move-zeroes/", "LeetCode Practice")</f>
        <v/>
      </c>
      <c r="H34" s="21">
        <f>HYPERLINK("https://www.youtube.com/results?search_query=takeUforward+Move+Zeros+to+end", "YouTube Video")</f>
        <v/>
      </c>
    </row>
    <row r="35" ht="20" customHeight="1">
      <c r="A35" s="4" t="n">
        <v>31</v>
      </c>
      <c r="B35" s="4" t="inlineStr">
        <is>
          <t>Todo</t>
        </is>
      </c>
      <c r="C35" s="5" t="inlineStr">
        <is>
          <t>Step 3: Arrays</t>
        </is>
      </c>
      <c r="D35" s="5" t="inlineStr">
        <is>
          <t>Easy</t>
        </is>
      </c>
      <c r="E35" s="5" t="inlineStr">
        <is>
          <t>Linear Search</t>
        </is>
      </c>
      <c r="F35" s="12" t="inlineStr">
        <is>
          <t>Easy</t>
        </is>
      </c>
      <c r="G35" s="13">
        <f>HYPERLINK("https://leetcode.com/problems/find-target-indices-after-sorting-array/", "LeetCode Practice")</f>
        <v/>
      </c>
      <c r="H35" s="20">
        <f>HYPERLINK("https://www.youtube.com/results?search_query=takeUforward+Linear+Search", "YouTube Video")</f>
        <v/>
      </c>
    </row>
    <row r="36" ht="20" customHeight="1">
      <c r="A36" s="7" t="n">
        <v>32</v>
      </c>
      <c r="B36" s="7" t="inlineStr">
        <is>
          <t>Todo</t>
        </is>
      </c>
      <c r="C36" s="8" t="inlineStr">
        <is>
          <t>Step 3: Arrays</t>
        </is>
      </c>
      <c r="D36" s="8" t="inlineStr">
        <is>
          <t>Easy</t>
        </is>
      </c>
      <c r="E36" s="8" t="inlineStr">
        <is>
          <t>Find the Union and Intersection of two sorted arrays</t>
        </is>
      </c>
      <c r="F36" s="16" t="inlineStr">
        <is>
          <t>Easy</t>
        </is>
      </c>
      <c r="G36" s="15">
        <f>HYPERLINK("https://leetcode.com/problems/intersection-of-two-arrays/", "LeetCode Practice")</f>
        <v/>
      </c>
      <c r="H36" s="21">
        <f>HYPERLINK("https://www.youtube.com/results?search_query=takeUforward+Find+the+Union+and+Intersection+of+two+sorted+arrays", "YouTube Video")</f>
        <v/>
      </c>
    </row>
    <row r="37" ht="20" customHeight="1">
      <c r="A37" s="4" t="n">
        <v>33</v>
      </c>
      <c r="B37" s="4" t="inlineStr">
        <is>
          <t>Todo</t>
        </is>
      </c>
      <c r="C37" s="5" t="inlineStr">
        <is>
          <t>Step 3: Arrays</t>
        </is>
      </c>
      <c r="D37" s="5" t="inlineStr">
        <is>
          <t>Easy</t>
        </is>
      </c>
      <c r="E37" s="5" t="inlineStr">
        <is>
          <t>Find missing number in an array</t>
        </is>
      </c>
      <c r="F37" s="12" t="inlineStr">
        <is>
          <t>Easy</t>
        </is>
      </c>
      <c r="G37" s="13">
        <f>HYPERLINK("https://leetcode.com/problems/missing-number/", "LeetCode Practice")</f>
        <v/>
      </c>
      <c r="H37" s="20">
        <f>HYPERLINK("https://www.youtube.com/results?search_query=takeUforward+Find+missing+number+in+an+array", "YouTube Video")</f>
        <v/>
      </c>
    </row>
    <row r="38" ht="20" customHeight="1">
      <c r="A38" s="7" t="n">
        <v>34</v>
      </c>
      <c r="B38" s="7" t="inlineStr">
        <is>
          <t>Todo</t>
        </is>
      </c>
      <c r="C38" s="8" t="inlineStr">
        <is>
          <t>Step 3: Arrays</t>
        </is>
      </c>
      <c r="D38" s="8" t="inlineStr">
        <is>
          <t>Easy</t>
        </is>
      </c>
      <c r="E38" s="8" t="inlineStr">
        <is>
          <t>Max Consecutive Ones</t>
        </is>
      </c>
      <c r="F38" s="16" t="inlineStr">
        <is>
          <t>Easy</t>
        </is>
      </c>
      <c r="G38" s="15">
        <f>HYPERLINK("https://leetcode.com/problems/max-consecutive-ones/", "LeetCode Practice")</f>
        <v/>
      </c>
      <c r="H38" s="21">
        <f>HYPERLINK("https://www.youtube.com/results?search_query=takeUforward+Max+Consecutive+Ones", "YouTube Video")</f>
        <v/>
      </c>
    </row>
    <row r="39" ht="20" customHeight="1">
      <c r="A39" s="4" t="n">
        <v>35</v>
      </c>
      <c r="B39" s="4" t="inlineStr">
        <is>
          <t>Todo</t>
        </is>
      </c>
      <c r="C39" s="5" t="inlineStr">
        <is>
          <t>Step 3: Arrays</t>
        </is>
      </c>
      <c r="D39" s="5" t="inlineStr">
        <is>
          <t>Easy</t>
        </is>
      </c>
      <c r="E39" s="5" t="inlineStr">
        <is>
          <t>Find the number that appears once, and other numbers twice</t>
        </is>
      </c>
      <c r="F39" s="12" t="inlineStr">
        <is>
          <t>Easy</t>
        </is>
      </c>
      <c r="G39" s="13">
        <f>HYPERLINK("https://leetcode.com/problems/single-number/", "LeetCode Practice")</f>
        <v/>
      </c>
      <c r="H39" s="20">
        <f>HYPERLINK("https://www.youtube.com/results?search_query=takeUforward+Find+the+number+that+appears+once%2C+and+other+numbers+twice", "YouTube Video")</f>
        <v/>
      </c>
    </row>
    <row r="40" ht="20" customHeight="1">
      <c r="A40" s="7" t="n">
        <v>36</v>
      </c>
      <c r="B40" s="7" t="inlineStr">
        <is>
          <t>Todo</t>
        </is>
      </c>
      <c r="C40" s="8" t="inlineStr">
        <is>
          <t>Step 3: Arrays</t>
        </is>
      </c>
      <c r="D40" s="8" t="inlineStr">
        <is>
          <t>Easy</t>
        </is>
      </c>
      <c r="E40" s="8" t="inlineStr">
        <is>
          <t>Longest Subarray with given Sum K (Positives)</t>
        </is>
      </c>
      <c r="F40" s="14" t="inlineStr">
        <is>
          <t>Medium</t>
        </is>
      </c>
      <c r="G40" s="15">
        <f>HYPERLINK("https://leetcode.com/problems/maximum-size-subarray-sum-equals-k/", "LeetCode Practice")</f>
        <v/>
      </c>
      <c r="H40" s="21">
        <f>HYPERLINK("https://www.youtube.com/results?search_query=takeUforward+Longest+Subarray+with+given+Sum+K+%28Positives%29", "YouTube Video")</f>
        <v/>
      </c>
    </row>
    <row r="41" ht="20" customHeight="1">
      <c r="A41" s="4" t="n">
        <v>37</v>
      </c>
      <c r="B41" s="4" t="inlineStr">
        <is>
          <t>Todo</t>
        </is>
      </c>
      <c r="C41" s="5" t="inlineStr">
        <is>
          <t>Step 3: Arrays</t>
        </is>
      </c>
      <c r="D41" s="5" t="inlineStr">
        <is>
          <t>Easy</t>
        </is>
      </c>
      <c r="E41" s="5" t="inlineStr">
        <is>
          <t>Longest Subarray with sum K (Positives + Negatives)</t>
        </is>
      </c>
      <c r="F41" s="17" t="inlineStr">
        <is>
          <t>Medium</t>
        </is>
      </c>
      <c r="G41" s="13">
        <f>HYPERLINK("https://leetcode.com/problems/subarray-sum-equals-k/", "LeetCode Practice")</f>
        <v/>
      </c>
      <c r="H41" s="20">
        <f>HYPERLINK("https://www.youtube.com/results?search_query=takeUforward+Longest+Subarray+with+sum+K+%28Positives+%2B+Negatives%29", "YouTube Video")</f>
        <v/>
      </c>
    </row>
    <row r="42" ht="20" customHeight="1">
      <c r="A42" s="7" t="n">
        <v>38</v>
      </c>
      <c r="B42" s="7" t="inlineStr">
        <is>
          <t>Todo</t>
        </is>
      </c>
      <c r="C42" s="8" t="inlineStr">
        <is>
          <t>Step 3: Arrays</t>
        </is>
      </c>
      <c r="D42" s="8" t="inlineStr">
        <is>
          <t>Medium</t>
        </is>
      </c>
      <c r="E42" s="8" t="inlineStr">
        <is>
          <t>2Sum Problem</t>
        </is>
      </c>
      <c r="F42" s="16" t="inlineStr">
        <is>
          <t>Easy</t>
        </is>
      </c>
      <c r="G42" s="15">
        <f>HYPERLINK("https://leetcode.com/problems/two-sum/", "LeetCode Practice")</f>
        <v/>
      </c>
      <c r="H42" s="21">
        <f>HYPERLINK("https://www.youtube.com/results?search_query=takeUforward+2Sum+Problem", "YouTube Video")</f>
        <v/>
      </c>
    </row>
    <row r="43" ht="20" customHeight="1">
      <c r="A43" s="4" t="n">
        <v>39</v>
      </c>
      <c r="B43" s="4" t="inlineStr">
        <is>
          <t>Todo</t>
        </is>
      </c>
      <c r="C43" s="5" t="inlineStr">
        <is>
          <t>Step 3: Arrays</t>
        </is>
      </c>
      <c r="D43" s="5" t="inlineStr">
        <is>
          <t>Medium</t>
        </is>
      </c>
      <c r="E43" s="5" t="inlineStr">
        <is>
          <t>Sort an array of 0s, 1s and 2s (Dutch National Flag)</t>
        </is>
      </c>
      <c r="F43" s="17" t="inlineStr">
        <is>
          <t>Medium</t>
        </is>
      </c>
      <c r="G43" s="13">
        <f>HYPERLINK("https://leetcode.com/problems/sort-colors/", "LeetCode Practice")</f>
        <v/>
      </c>
      <c r="H43" s="20">
        <f>HYPERLINK("https://www.youtube.com/results?search_query=takeUforward+Sort+an+array+of+0s%2C+1s+and+2s+%28Dutch+National+Flag%29", "YouTube Video")</f>
        <v/>
      </c>
    </row>
    <row r="44" ht="20" customHeight="1">
      <c r="A44" s="7" t="n">
        <v>40</v>
      </c>
      <c r="B44" s="7" t="inlineStr">
        <is>
          <t>Todo</t>
        </is>
      </c>
      <c r="C44" s="8" t="inlineStr">
        <is>
          <t>Step 3: Arrays</t>
        </is>
      </c>
      <c r="D44" s="8" t="inlineStr">
        <is>
          <t>Medium</t>
        </is>
      </c>
      <c r="E44" s="8" t="inlineStr">
        <is>
          <t>Majority Element (&gt; n/2 times)</t>
        </is>
      </c>
      <c r="F44" s="16" t="inlineStr">
        <is>
          <t>Easy</t>
        </is>
      </c>
      <c r="G44" s="15">
        <f>HYPERLINK("https://leetcode.com/problems/majority-element/", "LeetCode Practice")</f>
        <v/>
      </c>
      <c r="H44" s="21">
        <f>HYPERLINK("https://www.youtube.com/results?search_query=takeUforward+Majority+Element+%28%3E+n+2+times%29", "YouTube Video")</f>
        <v/>
      </c>
    </row>
    <row r="45" ht="20" customHeight="1">
      <c r="A45" s="4" t="n">
        <v>41</v>
      </c>
      <c r="B45" s="4" t="inlineStr">
        <is>
          <t>Todo</t>
        </is>
      </c>
      <c r="C45" s="5" t="inlineStr">
        <is>
          <t>Step 3: Arrays</t>
        </is>
      </c>
      <c r="D45" s="5" t="inlineStr">
        <is>
          <t>Medium</t>
        </is>
      </c>
      <c r="E45" s="5" t="inlineStr">
        <is>
          <t>Maximum Subarray Sum (Kadane's Algorithm)</t>
        </is>
      </c>
      <c r="F45" s="17" t="inlineStr">
        <is>
          <t>Medium</t>
        </is>
      </c>
      <c r="G45" s="13">
        <f>HYPERLINK("https://leetcode.com/problems/maximum-subarray/", "LeetCode Practice")</f>
        <v/>
      </c>
      <c r="H45" s="20">
        <f>HYPERLINK("https://www.youtube.com/results?search_query=takeUforward+Maximum+Subarray+Sum+%28Kadane%27s+Algorithm%29", "YouTube Video")</f>
        <v/>
      </c>
    </row>
    <row r="46" ht="20" customHeight="1">
      <c r="A46" s="7" t="n">
        <v>42</v>
      </c>
      <c r="B46" s="7" t="inlineStr">
        <is>
          <t>Todo</t>
        </is>
      </c>
      <c r="C46" s="8" t="inlineStr">
        <is>
          <t>Step 3: Arrays</t>
        </is>
      </c>
      <c r="D46" s="8" t="inlineStr">
        <is>
          <t>Medium</t>
        </is>
      </c>
      <c r="E46" s="8" t="inlineStr">
        <is>
          <t>Print subarray with maximum subarray sum</t>
        </is>
      </c>
      <c r="F46" s="14" t="inlineStr">
        <is>
          <t>Medium</t>
        </is>
      </c>
      <c r="G46" s="15">
        <f>HYPERLINK("https://leetcode.com/problems/maximum-subarray/", "LeetCode Practice")</f>
        <v/>
      </c>
      <c r="H46" s="21">
        <f>HYPERLINK("https://www.youtube.com/results?search_query=takeUforward+Print+subarray+with+maximum+subarray+sum", "YouTube Video")</f>
        <v/>
      </c>
    </row>
    <row r="47" ht="20" customHeight="1">
      <c r="A47" s="4" t="n">
        <v>43</v>
      </c>
      <c r="B47" s="4" t="inlineStr">
        <is>
          <t>Todo</t>
        </is>
      </c>
      <c r="C47" s="5" t="inlineStr">
        <is>
          <t>Step 3: Arrays</t>
        </is>
      </c>
      <c r="D47" s="5" t="inlineStr">
        <is>
          <t>Medium</t>
        </is>
      </c>
      <c r="E47" s="5" t="inlineStr">
        <is>
          <t>Stock Buy and Sell</t>
        </is>
      </c>
      <c r="F47" s="12" t="inlineStr">
        <is>
          <t>Easy</t>
        </is>
      </c>
      <c r="G47" s="13">
        <f>HYPERLINK("https://leetcode.com/problems/best-time-to-buy-and-sell-stock/", "LeetCode Practice")</f>
        <v/>
      </c>
      <c r="H47" s="20">
        <f>HYPERLINK("https://www.youtube.com/results?search_query=takeUforward+Stock+Buy+and+Sell", "YouTube Video")</f>
        <v/>
      </c>
    </row>
    <row r="48" ht="20" customHeight="1">
      <c r="A48" s="7" t="n">
        <v>44</v>
      </c>
      <c r="B48" s="7" t="inlineStr">
        <is>
          <t>Todo</t>
        </is>
      </c>
      <c r="C48" s="8" t="inlineStr">
        <is>
          <t>Step 3: Arrays</t>
        </is>
      </c>
      <c r="D48" s="8" t="inlineStr">
        <is>
          <t>Medium</t>
        </is>
      </c>
      <c r="E48" s="8" t="inlineStr">
        <is>
          <t>Rearrange Array Elements by Sign</t>
        </is>
      </c>
      <c r="F48" s="14" t="inlineStr">
        <is>
          <t>Medium</t>
        </is>
      </c>
      <c r="G48" s="15">
        <f>HYPERLINK("https://leetcode.com/problems/rearrange-array-elements-by-sign/", "LeetCode Practice")</f>
        <v/>
      </c>
      <c r="H48" s="21">
        <f>HYPERLINK("https://www.youtube.com/results?search_query=takeUforward+Rearrange+Array+Elements+by+Sign", "YouTube Video")</f>
        <v/>
      </c>
    </row>
    <row r="49" ht="20" customHeight="1">
      <c r="A49" s="4" t="n">
        <v>45</v>
      </c>
      <c r="B49" s="4" t="inlineStr">
        <is>
          <t>Todo</t>
        </is>
      </c>
      <c r="C49" s="5" t="inlineStr">
        <is>
          <t>Step 3: Arrays</t>
        </is>
      </c>
      <c r="D49" s="5" t="inlineStr">
        <is>
          <t>Medium</t>
        </is>
      </c>
      <c r="E49" s="5" t="inlineStr">
        <is>
          <t>Next Permutation</t>
        </is>
      </c>
      <c r="F49" s="17" t="inlineStr">
        <is>
          <t>Medium</t>
        </is>
      </c>
      <c r="G49" s="13">
        <f>HYPERLINK("https://leetcode.com/problems/next-permutation/", "LeetCode Practice")</f>
        <v/>
      </c>
      <c r="H49" s="20">
        <f>HYPERLINK("https://www.youtube.com/results?search_query=takeUforward+Next+Permutation", "YouTube Video")</f>
        <v/>
      </c>
    </row>
    <row r="50" ht="20" customHeight="1">
      <c r="A50" s="7" t="n">
        <v>46</v>
      </c>
      <c r="B50" s="7" t="inlineStr">
        <is>
          <t>Todo</t>
        </is>
      </c>
      <c r="C50" s="8" t="inlineStr">
        <is>
          <t>Step 3: Arrays</t>
        </is>
      </c>
      <c r="D50" s="8" t="inlineStr">
        <is>
          <t>Medium</t>
        </is>
      </c>
      <c r="E50" s="8" t="inlineStr">
        <is>
          <t>Leaders in an Array</t>
        </is>
      </c>
      <c r="F50" s="16" t="inlineStr">
        <is>
          <t>Easy</t>
        </is>
      </c>
      <c r="G50" s="15">
        <f>HYPERLINK("https://leetcode.com/problems/replace-elements-with-greatest-element-on-right-side/", "LeetCode Practice")</f>
        <v/>
      </c>
      <c r="H50" s="21">
        <f>HYPERLINK("https://www.youtube.com/results?search_query=takeUforward+Leaders+in+an+Array", "YouTube Video")</f>
        <v/>
      </c>
    </row>
    <row r="51" ht="20" customHeight="1">
      <c r="A51" s="4" t="n">
        <v>47</v>
      </c>
      <c r="B51" s="4" t="inlineStr">
        <is>
          <t>Todo</t>
        </is>
      </c>
      <c r="C51" s="5" t="inlineStr">
        <is>
          <t>Step 3: Arrays</t>
        </is>
      </c>
      <c r="D51" s="5" t="inlineStr">
        <is>
          <t>Medium</t>
        </is>
      </c>
      <c r="E51" s="5" t="inlineStr">
        <is>
          <t>Longest Consecutive Sequence in an Array</t>
        </is>
      </c>
      <c r="F51" s="17" t="inlineStr">
        <is>
          <t>Medium</t>
        </is>
      </c>
      <c r="G51" s="13">
        <f>HYPERLINK("https://leetcode.com/problems/longest-consecutive-sequence/", "LeetCode Practice")</f>
        <v/>
      </c>
      <c r="H51" s="20">
        <f>HYPERLINK("https://www.youtube.com/results?search_query=takeUforward+Longest+Consecutive+Sequence+in+an+Array", "YouTube Video")</f>
        <v/>
      </c>
    </row>
    <row r="52" ht="20" customHeight="1">
      <c r="A52" s="7" t="n">
        <v>48</v>
      </c>
      <c r="B52" s="7" t="inlineStr">
        <is>
          <t>Todo</t>
        </is>
      </c>
      <c r="C52" s="8" t="inlineStr">
        <is>
          <t>Step 3: Arrays</t>
        </is>
      </c>
      <c r="D52" s="8" t="inlineStr">
        <is>
          <t>Medium</t>
        </is>
      </c>
      <c r="E52" s="8" t="inlineStr">
        <is>
          <t>Set Matrix Zeroes</t>
        </is>
      </c>
      <c r="F52" s="14" t="inlineStr">
        <is>
          <t>Medium</t>
        </is>
      </c>
      <c r="G52" s="15">
        <f>HYPERLINK("https://leetcode.com/problems/set-matrix-zeroes/", "LeetCode Practice")</f>
        <v/>
      </c>
      <c r="H52" s="21">
        <f>HYPERLINK("https://www.youtube.com/results?search_query=takeUforward+Set+Matrix+Zeroes", "YouTube Video")</f>
        <v/>
      </c>
    </row>
    <row r="53" ht="20" customHeight="1">
      <c r="A53" s="4" t="n">
        <v>49</v>
      </c>
      <c r="B53" s="4" t="inlineStr">
        <is>
          <t>Todo</t>
        </is>
      </c>
      <c r="C53" s="5" t="inlineStr">
        <is>
          <t>Step 3: Arrays</t>
        </is>
      </c>
      <c r="D53" s="5" t="inlineStr">
        <is>
          <t>Medium</t>
        </is>
      </c>
      <c r="E53" s="5" t="inlineStr">
        <is>
          <t>Rotate Matrix by 90 degrees</t>
        </is>
      </c>
      <c r="F53" s="17" t="inlineStr">
        <is>
          <t>Medium</t>
        </is>
      </c>
      <c r="G53" s="13">
        <f>HYPERLINK("https://leetcode.com/problems/rotate-image/", "LeetCode Practice")</f>
        <v/>
      </c>
      <c r="H53" s="20">
        <f>HYPERLINK("https://www.youtube.com/results?search_query=takeUforward+Rotate+Matrix+by+90+degrees", "YouTube Video")</f>
        <v/>
      </c>
    </row>
    <row r="54" ht="20" customHeight="1">
      <c r="A54" s="7" t="n">
        <v>50</v>
      </c>
      <c r="B54" s="7" t="inlineStr">
        <is>
          <t>Todo</t>
        </is>
      </c>
      <c r="C54" s="8" t="inlineStr">
        <is>
          <t>Step 3: Arrays</t>
        </is>
      </c>
      <c r="D54" s="8" t="inlineStr">
        <is>
          <t>Medium</t>
        </is>
      </c>
      <c r="E54" s="8" t="inlineStr">
        <is>
          <t>Print the matrix in spiral manner</t>
        </is>
      </c>
      <c r="F54" s="14" t="inlineStr">
        <is>
          <t>Medium</t>
        </is>
      </c>
      <c r="G54" s="15">
        <f>HYPERLINK("https://leetcode.com/problems/spiral-matrix/", "LeetCode Practice")</f>
        <v/>
      </c>
      <c r="H54" s="21">
        <f>HYPERLINK("https://www.youtube.com/results?search_query=takeUforward+Print+the+matrix+in+spiral+manner", "YouTube Video")</f>
        <v/>
      </c>
    </row>
    <row r="55" ht="20" customHeight="1">
      <c r="A55" s="4" t="n">
        <v>51</v>
      </c>
      <c r="B55" s="4" t="inlineStr">
        <is>
          <t>Todo</t>
        </is>
      </c>
      <c r="C55" s="5" t="inlineStr">
        <is>
          <t>Step 3: Arrays</t>
        </is>
      </c>
      <c r="D55" s="5" t="inlineStr">
        <is>
          <t>Medium</t>
        </is>
      </c>
      <c r="E55" s="5" t="inlineStr">
        <is>
          <t>Count Subarray sum Equals K</t>
        </is>
      </c>
      <c r="F55" s="17" t="inlineStr">
        <is>
          <t>Medium</t>
        </is>
      </c>
      <c r="G55" s="13">
        <f>HYPERLINK("https://leetcode.com/problems/subarray-sum-equals-k/", "LeetCode Practice")</f>
        <v/>
      </c>
      <c r="H55" s="20">
        <f>HYPERLINK("https://www.youtube.com/results?search_query=takeUforward+Count+Subarray+sum+Equals+K", "YouTube Video")</f>
        <v/>
      </c>
    </row>
    <row r="56" ht="20" customHeight="1">
      <c r="A56" s="7" t="n">
        <v>52</v>
      </c>
      <c r="B56" s="7" t="inlineStr">
        <is>
          <t>Todo</t>
        </is>
      </c>
      <c r="C56" s="8" t="inlineStr">
        <is>
          <t>Step 3: Arrays</t>
        </is>
      </c>
      <c r="D56" s="8" t="inlineStr">
        <is>
          <t>Hard</t>
        </is>
      </c>
      <c r="E56" s="8" t="inlineStr">
        <is>
          <t>Pascal's Triangle</t>
        </is>
      </c>
      <c r="F56" s="16" t="inlineStr">
        <is>
          <t>Easy</t>
        </is>
      </c>
      <c r="G56" s="15">
        <f>HYPERLINK("https://leetcode.com/problems/pascals-triangle/", "LeetCode Practice")</f>
        <v/>
      </c>
      <c r="H56" s="21">
        <f>HYPERLINK("https://www.youtube.com/results?search_query=takeUforward+Pascal%27s+Triangle", "YouTube Video")</f>
        <v/>
      </c>
    </row>
    <row r="57" ht="20" customHeight="1">
      <c r="A57" s="4" t="n">
        <v>53</v>
      </c>
      <c r="B57" s="4" t="inlineStr">
        <is>
          <t>Todo</t>
        </is>
      </c>
      <c r="C57" s="5" t="inlineStr">
        <is>
          <t>Step 3: Arrays</t>
        </is>
      </c>
      <c r="D57" s="5" t="inlineStr">
        <is>
          <t>Hard</t>
        </is>
      </c>
      <c r="E57" s="5" t="inlineStr">
        <is>
          <t>Majority Elements (&gt; n/3 times)</t>
        </is>
      </c>
      <c r="F57" s="17" t="inlineStr">
        <is>
          <t>Medium</t>
        </is>
      </c>
      <c r="G57" s="13">
        <f>HYPERLINK("https://leetcode.com/problems/majority-element-ii/", "LeetCode Practice")</f>
        <v/>
      </c>
      <c r="H57" s="20">
        <f>HYPERLINK("https://www.youtube.com/results?search_query=takeUforward+Majority+Elements+%28%3E+n+3+times%29", "YouTube Video")</f>
        <v/>
      </c>
    </row>
    <row r="58" ht="20" customHeight="1">
      <c r="A58" s="7" t="n">
        <v>54</v>
      </c>
      <c r="B58" s="7" t="inlineStr">
        <is>
          <t>Todo</t>
        </is>
      </c>
      <c r="C58" s="8" t="inlineStr">
        <is>
          <t>Step 3: Arrays</t>
        </is>
      </c>
      <c r="D58" s="8" t="inlineStr">
        <is>
          <t>Hard</t>
        </is>
      </c>
      <c r="E58" s="8" t="inlineStr">
        <is>
          <t>3-Sum Problem</t>
        </is>
      </c>
      <c r="F58" s="14" t="inlineStr">
        <is>
          <t>Medium</t>
        </is>
      </c>
      <c r="G58" s="15">
        <f>HYPERLINK("https://leetcode.com/problems/3sum/", "LeetCode Practice")</f>
        <v/>
      </c>
      <c r="H58" s="21">
        <f>HYPERLINK("https://www.youtube.com/results?search_query=takeUforward+3-Sum+Problem", "YouTube Video")</f>
        <v/>
      </c>
    </row>
    <row r="59" ht="20" customHeight="1">
      <c r="A59" s="4" t="n">
        <v>55</v>
      </c>
      <c r="B59" s="4" t="inlineStr">
        <is>
          <t>Todo</t>
        </is>
      </c>
      <c r="C59" s="5" t="inlineStr">
        <is>
          <t>Step 3: Arrays</t>
        </is>
      </c>
      <c r="D59" s="5" t="inlineStr">
        <is>
          <t>Hard</t>
        </is>
      </c>
      <c r="E59" s="5" t="inlineStr">
        <is>
          <t>4-Sum Problem</t>
        </is>
      </c>
      <c r="F59" s="17" t="inlineStr">
        <is>
          <t>Medium</t>
        </is>
      </c>
      <c r="G59" s="13">
        <f>HYPERLINK("https://leetcode.com/problems/4sum/", "LeetCode Practice")</f>
        <v/>
      </c>
      <c r="H59" s="20">
        <f>HYPERLINK("https://www.youtube.com/results?search_query=takeUforward+4-Sum+Problem", "YouTube Video")</f>
        <v/>
      </c>
    </row>
    <row r="60" ht="20" customHeight="1">
      <c r="A60" s="7" t="n">
        <v>56</v>
      </c>
      <c r="B60" s="7" t="inlineStr">
        <is>
          <t>Todo</t>
        </is>
      </c>
      <c r="C60" s="8" t="inlineStr">
        <is>
          <t>Step 3: Arrays</t>
        </is>
      </c>
      <c r="D60" s="8" t="inlineStr">
        <is>
          <t>Hard</t>
        </is>
      </c>
      <c r="E60" s="8" t="inlineStr">
        <is>
          <t>Largest Subarray with 0 Sum</t>
        </is>
      </c>
      <c r="F60" s="14" t="inlineStr">
        <is>
          <t>Medium</t>
        </is>
      </c>
      <c r="G60" s="15">
        <f>HYPERLINK("https://leetcode.com/problems/contiguous-array/", "LeetCode Practice")</f>
        <v/>
      </c>
      <c r="H60" s="21">
        <f>HYPERLINK("https://www.youtube.com/results?search_query=takeUforward+Largest+Subarray+with+0+Sum", "YouTube Video")</f>
        <v/>
      </c>
    </row>
    <row r="61" ht="20" customHeight="1">
      <c r="A61" s="4" t="n">
        <v>57</v>
      </c>
      <c r="B61" s="4" t="inlineStr">
        <is>
          <t>Todo</t>
        </is>
      </c>
      <c r="C61" s="5" t="inlineStr">
        <is>
          <t>Step 3: Arrays</t>
        </is>
      </c>
      <c r="D61" s="5" t="inlineStr">
        <is>
          <t>Hard</t>
        </is>
      </c>
      <c r="E61" s="5" t="inlineStr">
        <is>
          <t>Count number of subarrays with given xor K</t>
        </is>
      </c>
      <c r="F61" s="17" t="inlineStr">
        <is>
          <t>Medium</t>
        </is>
      </c>
      <c r="G61" s="13">
        <f>HYPERLINK("https://leetcode.com/problems/xor-queries-of-a-subarray/", "LeetCode Practice")</f>
        <v/>
      </c>
      <c r="H61" s="20">
        <f>HYPERLINK("https://www.youtube.com/results?search_query=takeUforward+Count+number+of+subarrays+with+given+xor+K", "YouTube Video")</f>
        <v/>
      </c>
    </row>
    <row r="62" ht="20" customHeight="1">
      <c r="A62" s="7" t="n">
        <v>58</v>
      </c>
      <c r="B62" s="7" t="inlineStr">
        <is>
          <t>Todo</t>
        </is>
      </c>
      <c r="C62" s="8" t="inlineStr">
        <is>
          <t>Step 3: Arrays</t>
        </is>
      </c>
      <c r="D62" s="8" t="inlineStr">
        <is>
          <t>Hard</t>
        </is>
      </c>
      <c r="E62" s="8" t="inlineStr">
        <is>
          <t>Merge Overlapping Subintervals</t>
        </is>
      </c>
      <c r="F62" s="14" t="inlineStr">
        <is>
          <t>Medium</t>
        </is>
      </c>
      <c r="G62" s="15">
        <f>HYPERLINK("https://leetcode.com/problems/merge-intervals/", "LeetCode Practice")</f>
        <v/>
      </c>
      <c r="H62" s="21">
        <f>HYPERLINK("https://www.youtube.com/results?search_query=takeUforward+Merge+Overlapping+Subintervals", "YouTube Video")</f>
        <v/>
      </c>
    </row>
    <row r="63" ht="20" customHeight="1">
      <c r="A63" s="4" t="n">
        <v>59</v>
      </c>
      <c r="B63" s="4" t="inlineStr">
        <is>
          <t>Todo</t>
        </is>
      </c>
      <c r="C63" s="5" t="inlineStr">
        <is>
          <t>Step 3: Arrays</t>
        </is>
      </c>
      <c r="D63" s="5" t="inlineStr">
        <is>
          <t>Hard</t>
        </is>
      </c>
      <c r="E63" s="5" t="inlineStr">
        <is>
          <t>Merge two sorted arrays without extra space</t>
        </is>
      </c>
      <c r="F63" s="12" t="inlineStr">
        <is>
          <t>Easy</t>
        </is>
      </c>
      <c r="G63" s="13">
        <f>HYPERLINK("https://leetcode.com/problems/merge-sorted-array/", "LeetCode Practice")</f>
        <v/>
      </c>
      <c r="H63" s="20">
        <f>HYPERLINK("https://www.youtube.com/results?search_query=takeUforward+Merge+two+sorted+arrays+without+extra+space", "YouTube Video")</f>
        <v/>
      </c>
    </row>
    <row r="64" ht="20" customHeight="1">
      <c r="A64" s="7" t="n">
        <v>60</v>
      </c>
      <c r="B64" s="7" t="inlineStr">
        <is>
          <t>Todo</t>
        </is>
      </c>
      <c r="C64" s="8" t="inlineStr">
        <is>
          <t>Step 3: Arrays</t>
        </is>
      </c>
      <c r="D64" s="8" t="inlineStr">
        <is>
          <t>Hard</t>
        </is>
      </c>
      <c r="E64" s="8" t="inlineStr">
        <is>
          <t>Find the repeating and missing number</t>
        </is>
      </c>
      <c r="F64" s="14" t="inlineStr">
        <is>
          <t>Medium</t>
        </is>
      </c>
      <c r="G64" s="15">
        <f>HYPERLINK("https://leetcode.com/problems/set-mismatch/", "LeetCode Practice")</f>
        <v/>
      </c>
      <c r="H64" s="21">
        <f>HYPERLINK("https://www.youtube.com/results?search_query=takeUforward+Find+the+repeating+and+missing+number", "YouTube Video")</f>
        <v/>
      </c>
    </row>
    <row r="65" ht="20" customHeight="1">
      <c r="A65" s="4" t="n">
        <v>61</v>
      </c>
      <c r="B65" s="4" t="inlineStr">
        <is>
          <t>Todo</t>
        </is>
      </c>
      <c r="C65" s="5" t="inlineStr">
        <is>
          <t>Step 3: Arrays</t>
        </is>
      </c>
      <c r="D65" s="5" t="inlineStr">
        <is>
          <t>Hard</t>
        </is>
      </c>
      <c r="E65" s="5" t="inlineStr">
        <is>
          <t>Count Inversions</t>
        </is>
      </c>
      <c r="F65" s="18" t="inlineStr">
        <is>
          <t>Hard</t>
        </is>
      </c>
      <c r="G65" s="13">
        <f>HYPERLINK("https://leetcode.com/problems/global-and-local-inversions/", "LeetCode Practice")</f>
        <v/>
      </c>
      <c r="H65" s="20">
        <f>HYPERLINK("https://www.youtube.com/results?search_query=takeUforward+Count+Inversions", "YouTube Video")</f>
        <v/>
      </c>
    </row>
    <row r="66" ht="20" customHeight="1">
      <c r="A66" s="7" t="n">
        <v>62</v>
      </c>
      <c r="B66" s="7" t="inlineStr">
        <is>
          <t>Todo</t>
        </is>
      </c>
      <c r="C66" s="8" t="inlineStr">
        <is>
          <t>Step 3: Arrays</t>
        </is>
      </c>
      <c r="D66" s="8" t="inlineStr">
        <is>
          <t>Hard</t>
        </is>
      </c>
      <c r="E66" s="8" t="inlineStr">
        <is>
          <t>Reverse Pairs</t>
        </is>
      </c>
      <c r="F66" s="19" t="inlineStr">
        <is>
          <t>Hard</t>
        </is>
      </c>
      <c r="G66" s="15">
        <f>HYPERLINK("https://leetcode.com/problems/reverse-pairs/", "LeetCode Practice")</f>
        <v/>
      </c>
      <c r="H66" s="21">
        <f>HYPERLINK("https://www.youtube.com/results?search_query=takeUforward+Reverse+Pairs", "YouTube Video")</f>
        <v/>
      </c>
    </row>
    <row r="67" ht="20" customHeight="1">
      <c r="A67" s="4" t="n">
        <v>63</v>
      </c>
      <c r="B67" s="4" t="inlineStr">
        <is>
          <t>Todo</t>
        </is>
      </c>
      <c r="C67" s="5" t="inlineStr">
        <is>
          <t>Step 3: Arrays</t>
        </is>
      </c>
      <c r="D67" s="5" t="inlineStr">
        <is>
          <t>Hard</t>
        </is>
      </c>
      <c r="E67" s="5" t="inlineStr">
        <is>
          <t>Maximum Product Subarray</t>
        </is>
      </c>
      <c r="F67" s="17" t="inlineStr">
        <is>
          <t>Medium</t>
        </is>
      </c>
      <c r="G67" s="13">
        <f>HYPERLINK("https://leetcode.com/problems/maximum-product-subarray/", "LeetCode Practice")</f>
        <v/>
      </c>
      <c r="H67" s="20">
        <f>HYPERLINK("https://www.youtube.com/results?search_query=takeUforward+Maximum+Product+Subarray", "YouTube Video")</f>
        <v/>
      </c>
    </row>
    <row r="68" ht="20" customHeight="1">
      <c r="A68" s="7" t="n">
        <v>64</v>
      </c>
      <c r="B68" s="7" t="inlineStr">
        <is>
          <t>Todo</t>
        </is>
      </c>
      <c r="C68" s="8" t="inlineStr">
        <is>
          <t>Step 4: Binary Search</t>
        </is>
      </c>
      <c r="D68" s="8" t="inlineStr">
        <is>
          <t>1D Arrays</t>
        </is>
      </c>
      <c r="E68" s="8" t="inlineStr">
        <is>
          <t>Binary Search to find X in sorted array</t>
        </is>
      </c>
      <c r="F68" s="16" t="inlineStr">
        <is>
          <t>Easy</t>
        </is>
      </c>
      <c r="G68" s="15">
        <f>HYPERLINK("https://leetcode.com/problems/binary-search/", "LeetCode Practice")</f>
        <v/>
      </c>
      <c r="H68" s="21">
        <f>HYPERLINK("https://www.youtube.com/results?search_query=takeUforward+Binary+Search+to+find+X+in+sorted+array", "YouTube Video")</f>
        <v/>
      </c>
    </row>
    <row r="69" ht="20" customHeight="1">
      <c r="A69" s="4" t="n">
        <v>65</v>
      </c>
      <c r="B69" s="4" t="inlineStr">
        <is>
          <t>Todo</t>
        </is>
      </c>
      <c r="C69" s="5" t="inlineStr">
        <is>
          <t>Step 4: Binary Search</t>
        </is>
      </c>
      <c r="D69" s="5" t="inlineStr">
        <is>
          <t>1D Arrays</t>
        </is>
      </c>
      <c r="E69" s="5" t="inlineStr">
        <is>
          <t>Implement Lower Bound</t>
        </is>
      </c>
      <c r="F69" s="12" t="inlineStr">
        <is>
          <t>Easy</t>
        </is>
      </c>
      <c r="G69" s="13">
        <f>HYPERLINK("https://leetcode.com/problems/search-insert-position/", "LeetCode Practice")</f>
        <v/>
      </c>
      <c r="H69" s="20">
        <f>HYPERLINK("https://www.youtube.com/results?search_query=takeUforward+Implement+Lower+Bound", "YouTube Video")</f>
        <v/>
      </c>
    </row>
    <row r="70" ht="20" customHeight="1">
      <c r="A70" s="7" t="n">
        <v>66</v>
      </c>
      <c r="B70" s="7" t="inlineStr">
        <is>
          <t>Todo</t>
        </is>
      </c>
      <c r="C70" s="8" t="inlineStr">
        <is>
          <t>Step 4: Binary Search</t>
        </is>
      </c>
      <c r="D70" s="8" t="inlineStr">
        <is>
          <t>1D Arrays</t>
        </is>
      </c>
      <c r="E70" s="8" t="inlineStr">
        <is>
          <t>Implement Upper Bound</t>
        </is>
      </c>
      <c r="F70" s="16" t="inlineStr">
        <is>
          <t>Easy</t>
        </is>
      </c>
      <c r="G70" s="15">
        <f>HYPERLINK("https://leetcode.com/problems/search-insert-position/", "LeetCode Practice")</f>
        <v/>
      </c>
      <c r="H70" s="21">
        <f>HYPERLINK("https://www.youtube.com/results?search_query=takeUforward+Implement+Upper+Bound", "YouTube Video")</f>
        <v/>
      </c>
    </row>
    <row r="71" ht="20" customHeight="1">
      <c r="A71" s="4" t="n">
        <v>67</v>
      </c>
      <c r="B71" s="4" t="inlineStr">
        <is>
          <t>Todo</t>
        </is>
      </c>
      <c r="C71" s="5" t="inlineStr">
        <is>
          <t>Step 4: Binary Search</t>
        </is>
      </c>
      <c r="D71" s="5" t="inlineStr">
        <is>
          <t>1D Arrays</t>
        </is>
      </c>
      <c r="E71" s="5" t="inlineStr">
        <is>
          <t>Search Insert Position</t>
        </is>
      </c>
      <c r="F71" s="12" t="inlineStr">
        <is>
          <t>Easy</t>
        </is>
      </c>
      <c r="G71" s="13">
        <f>HYPERLINK("https://leetcode.com/problems/search-insert-position/", "LeetCode Practice")</f>
        <v/>
      </c>
      <c r="H71" s="20">
        <f>HYPERLINK("https://www.youtube.com/results?search_query=takeUforward+Search+Insert+Position", "YouTube Video")</f>
        <v/>
      </c>
    </row>
    <row r="72" ht="20" customHeight="1">
      <c r="A72" s="7" t="n">
        <v>68</v>
      </c>
      <c r="B72" s="7" t="inlineStr">
        <is>
          <t>Todo</t>
        </is>
      </c>
      <c r="C72" s="8" t="inlineStr">
        <is>
          <t>Step 4: Binary Search</t>
        </is>
      </c>
      <c r="D72" s="8" t="inlineStr">
        <is>
          <t>1D Arrays</t>
        </is>
      </c>
      <c r="E72" s="8" t="inlineStr">
        <is>
          <t>Check if Input array is sorted</t>
        </is>
      </c>
      <c r="F72" s="16" t="inlineStr">
        <is>
          <t>Easy</t>
        </is>
      </c>
      <c r="G72" s="15">
        <f>HYPERLINK("https://leetcode.com/problems/check-if-array-is-sorted-and-rotated/", "LeetCode Practice")</f>
        <v/>
      </c>
      <c r="H72" s="21">
        <f>HYPERLINK("https://www.youtube.com/results?search_query=takeUforward+Check+if+Input+array+is+sorted", "YouTube Video")</f>
        <v/>
      </c>
    </row>
    <row r="73" ht="20" customHeight="1">
      <c r="A73" s="4" t="n">
        <v>69</v>
      </c>
      <c r="B73" s="4" t="inlineStr">
        <is>
          <t>Todo</t>
        </is>
      </c>
      <c r="C73" s="5" t="inlineStr">
        <is>
          <t>Step 4: Binary Search</t>
        </is>
      </c>
      <c r="D73" s="5" t="inlineStr">
        <is>
          <t>1D Arrays</t>
        </is>
      </c>
      <c r="E73" s="5" t="inlineStr">
        <is>
          <t>Find First and Last Position of Element in Sorted Array</t>
        </is>
      </c>
      <c r="F73" s="17" t="inlineStr">
        <is>
          <t>Medium</t>
        </is>
      </c>
      <c r="G73" s="13">
        <f>HYPERLINK("https://leetcode.com/problems/find-first-and-last-position-of-element-in-sorted-array/", "LeetCode Practice")</f>
        <v/>
      </c>
      <c r="H73" s="20">
        <f>HYPERLINK("https://www.youtube.com/results?search_query=takeUforward+Find+First+and+Last+Position+of+Element+in+Sorted+Array", "YouTube Video")</f>
        <v/>
      </c>
    </row>
    <row r="74" ht="20" customHeight="1">
      <c r="A74" s="7" t="n">
        <v>70</v>
      </c>
      <c r="B74" s="7" t="inlineStr">
        <is>
          <t>Todo</t>
        </is>
      </c>
      <c r="C74" s="8" t="inlineStr">
        <is>
          <t>Step 4: Binary Search</t>
        </is>
      </c>
      <c r="D74" s="8" t="inlineStr">
        <is>
          <t>1D Arrays</t>
        </is>
      </c>
      <c r="E74" s="8" t="inlineStr">
        <is>
          <t>Count Occurrences in Sorted Array</t>
        </is>
      </c>
      <c r="F74" s="16" t="inlineStr">
        <is>
          <t>Easy</t>
        </is>
      </c>
      <c r="G74" s="15">
        <f>HYPERLINK("https://leetcode.com/problems/find-first-and-last-position-of-element-in-sorted-array/", "LeetCode Practice")</f>
        <v/>
      </c>
      <c r="H74" s="21">
        <f>HYPERLINK("https://www.youtube.com/results?search_query=takeUforward+Count+Occurrences+in+Sorted+Array", "YouTube Video")</f>
        <v/>
      </c>
    </row>
    <row r="75" ht="20" customHeight="1">
      <c r="A75" s="4" t="n">
        <v>71</v>
      </c>
      <c r="B75" s="4" t="inlineStr">
        <is>
          <t>Todo</t>
        </is>
      </c>
      <c r="C75" s="5" t="inlineStr">
        <is>
          <t>Step 4: Binary Search</t>
        </is>
      </c>
      <c r="D75" s="5" t="inlineStr">
        <is>
          <t>1D Arrays</t>
        </is>
      </c>
      <c r="E75" s="5" t="inlineStr">
        <is>
          <t>Search in Rotated Sorted Array I</t>
        </is>
      </c>
      <c r="F75" s="17" t="inlineStr">
        <is>
          <t>Medium</t>
        </is>
      </c>
      <c r="G75" s="13">
        <f>HYPERLINK("https://leetcode.com/problems/search-in-rotated-sorted-array/", "LeetCode Practice")</f>
        <v/>
      </c>
      <c r="H75" s="20">
        <f>HYPERLINK("https://www.youtube.com/results?search_query=takeUforward+Search+in+Rotated+Sorted+Array+I", "YouTube Video")</f>
        <v/>
      </c>
    </row>
    <row r="76" ht="20" customHeight="1">
      <c r="A76" s="7" t="n">
        <v>72</v>
      </c>
      <c r="B76" s="7" t="inlineStr">
        <is>
          <t>Todo</t>
        </is>
      </c>
      <c r="C76" s="8" t="inlineStr">
        <is>
          <t>Step 4: Binary Search</t>
        </is>
      </c>
      <c r="D76" s="8" t="inlineStr">
        <is>
          <t>1D Arrays</t>
        </is>
      </c>
      <c r="E76" s="8" t="inlineStr">
        <is>
          <t>Search in Rotated Sorted Array II</t>
        </is>
      </c>
      <c r="F76" s="14" t="inlineStr">
        <is>
          <t>Medium</t>
        </is>
      </c>
      <c r="G76" s="15">
        <f>HYPERLINK("https://leetcode.com/problems/search-in-rotated-sorted-array-ii/", "LeetCode Practice")</f>
        <v/>
      </c>
      <c r="H76" s="21">
        <f>HYPERLINK("https://www.youtube.com/results?search_query=takeUforward+Search+in+Rotated+Sorted+Array+II", "YouTube Video")</f>
        <v/>
      </c>
    </row>
    <row r="77" ht="20" customHeight="1">
      <c r="A77" s="4" t="n">
        <v>73</v>
      </c>
      <c r="B77" s="4" t="inlineStr">
        <is>
          <t>Todo</t>
        </is>
      </c>
      <c r="C77" s="5" t="inlineStr">
        <is>
          <t>Step 4: Binary Search</t>
        </is>
      </c>
      <c r="D77" s="5" t="inlineStr">
        <is>
          <t>1D Arrays</t>
        </is>
      </c>
      <c r="E77" s="5" t="inlineStr">
        <is>
          <t>Find Minimum in Rotated Sorted Array</t>
        </is>
      </c>
      <c r="F77" s="17" t="inlineStr">
        <is>
          <t>Medium</t>
        </is>
      </c>
      <c r="G77" s="13">
        <f>HYPERLINK("https://leetcode.com/problems/find-minimum-in-rotated-sorted-array/", "LeetCode Practice")</f>
        <v/>
      </c>
      <c r="H77" s="20">
        <f>HYPERLINK("https://www.youtube.com/results?search_query=takeUforward+Find+Minimum+in+Rotated+Sorted+Array", "YouTube Video")</f>
        <v/>
      </c>
    </row>
    <row r="78" ht="20" customHeight="1">
      <c r="A78" s="7" t="n">
        <v>74</v>
      </c>
      <c r="B78" s="7" t="inlineStr">
        <is>
          <t>Todo</t>
        </is>
      </c>
      <c r="C78" s="8" t="inlineStr">
        <is>
          <t>Step 4: Binary Search</t>
        </is>
      </c>
      <c r="D78" s="8" t="inlineStr">
        <is>
          <t>1D Arrays</t>
        </is>
      </c>
      <c r="E78" s="8" t="inlineStr">
        <is>
          <t>Find how many times array has been rotated</t>
        </is>
      </c>
      <c r="F78" s="14" t="inlineStr">
        <is>
          <t>Medium</t>
        </is>
      </c>
      <c r="G78" s="15">
        <f>HYPERLINK("https://leetcode.com/problems/find-minimum-in-rotated-sorted-array/", "LeetCode Practice")</f>
        <v/>
      </c>
      <c r="H78" s="21">
        <f>HYPERLINK("https://www.youtube.com/results?search_query=takeUforward+Find+how+many+times+array+has+been+rotated", "YouTube Video")</f>
        <v/>
      </c>
    </row>
    <row r="79" ht="20" customHeight="1">
      <c r="A79" s="4" t="n">
        <v>75</v>
      </c>
      <c r="B79" s="4" t="inlineStr">
        <is>
          <t>Todo</t>
        </is>
      </c>
      <c r="C79" s="5" t="inlineStr">
        <is>
          <t>Step 4: Binary Search</t>
        </is>
      </c>
      <c r="D79" s="5" t="inlineStr">
        <is>
          <t>1D Arrays</t>
        </is>
      </c>
      <c r="E79" s="5" t="inlineStr">
        <is>
          <t>Single Element in a Sorted Array</t>
        </is>
      </c>
      <c r="F79" s="17" t="inlineStr">
        <is>
          <t>Medium</t>
        </is>
      </c>
      <c r="G79" s="13">
        <f>HYPERLINK("https://leetcode.com/problems/single-element-in-a-sorted-array/", "LeetCode Practice")</f>
        <v/>
      </c>
      <c r="H79" s="20">
        <f>HYPERLINK("https://www.youtube.com/results?search_query=takeUforward+Single+Element+in+a+Sorted+Array", "YouTube Video")</f>
        <v/>
      </c>
    </row>
    <row r="80" ht="20" customHeight="1">
      <c r="A80" s="7" t="n">
        <v>76</v>
      </c>
      <c r="B80" s="7" t="inlineStr">
        <is>
          <t>Todo</t>
        </is>
      </c>
      <c r="C80" s="8" t="inlineStr">
        <is>
          <t>Step 4: Binary Search</t>
        </is>
      </c>
      <c r="D80" s="8" t="inlineStr">
        <is>
          <t>1D Arrays</t>
        </is>
      </c>
      <c r="E80" s="8" t="inlineStr">
        <is>
          <t>Find Peak Element</t>
        </is>
      </c>
      <c r="F80" s="14" t="inlineStr">
        <is>
          <t>Medium</t>
        </is>
      </c>
      <c r="G80" s="15">
        <f>HYPERLINK("https://leetcode.com/problems/find-peak-element/", "LeetCode Practice")</f>
        <v/>
      </c>
      <c r="H80" s="21">
        <f>HYPERLINK("https://www.youtube.com/results?search_query=takeUforward+Find+Peak+Element", "YouTube Video")</f>
        <v/>
      </c>
    </row>
    <row r="81" ht="20" customHeight="1">
      <c r="A81" s="4" t="n">
        <v>77</v>
      </c>
      <c r="B81" s="4" t="inlineStr">
        <is>
          <t>Todo</t>
        </is>
      </c>
      <c r="C81" s="5" t="inlineStr">
        <is>
          <t>Step 4: Binary Search</t>
        </is>
      </c>
      <c r="D81" s="5" t="inlineStr">
        <is>
          <t>Answers (Search Space)</t>
        </is>
      </c>
      <c r="E81" s="5" t="inlineStr">
        <is>
          <t>Find square root of a number in O(log N)</t>
        </is>
      </c>
      <c r="F81" s="12" t="inlineStr">
        <is>
          <t>Easy</t>
        </is>
      </c>
      <c r="G81" s="13">
        <f>HYPERLINK("https://leetcode.com/problems/sqrtx/", "LeetCode Practice")</f>
        <v/>
      </c>
      <c r="H81" s="20">
        <f>HYPERLINK("https://www.youtube.com/results?search_query=takeUforward+Find+square+root+of+a+number+in+O%28log+N%29", "YouTube Video")</f>
        <v/>
      </c>
    </row>
    <row r="82" ht="20" customHeight="1">
      <c r="A82" s="7" t="n">
        <v>78</v>
      </c>
      <c r="B82" s="7" t="inlineStr">
        <is>
          <t>Todo</t>
        </is>
      </c>
      <c r="C82" s="8" t="inlineStr">
        <is>
          <t>Step 4: Binary Search</t>
        </is>
      </c>
      <c r="D82" s="8" t="inlineStr">
        <is>
          <t>Answers (Search Space)</t>
        </is>
      </c>
      <c r="E82" s="8" t="inlineStr">
        <is>
          <t>Find the Nth root of a number</t>
        </is>
      </c>
      <c r="F82" s="14" t="inlineStr">
        <is>
          <t>Medium</t>
        </is>
      </c>
      <c r="G82" s="15">
        <f>HYPERLINK("https://leetcode.com/problems/powx-n/", "LeetCode Practice")</f>
        <v/>
      </c>
      <c r="H82" s="21">
        <f>HYPERLINK("https://www.youtube.com/results?search_query=takeUforward+Find+the+Nth+root+of+a+number", "YouTube Video")</f>
        <v/>
      </c>
    </row>
    <row r="83" ht="20" customHeight="1">
      <c r="A83" s="4" t="n">
        <v>79</v>
      </c>
      <c r="B83" s="4" t="inlineStr">
        <is>
          <t>Todo</t>
        </is>
      </c>
      <c r="C83" s="5" t="inlineStr">
        <is>
          <t>Step 4: Binary Search</t>
        </is>
      </c>
      <c r="D83" s="5" t="inlineStr">
        <is>
          <t>Answers (Search Space)</t>
        </is>
      </c>
      <c r="E83" s="5" t="inlineStr">
        <is>
          <t>Koko Eating Bananas</t>
        </is>
      </c>
      <c r="F83" s="17" t="inlineStr">
        <is>
          <t>Medium</t>
        </is>
      </c>
      <c r="G83" s="13">
        <f>HYPERLINK("https://leetcode.com/problems/koko-eating-bananas/", "LeetCode Practice")</f>
        <v/>
      </c>
      <c r="H83" s="20">
        <f>HYPERLINK("https://www.youtube.com/results?search_query=takeUforward+Koko+Eating+Bananas", "YouTube Video")</f>
        <v/>
      </c>
    </row>
    <row r="84" ht="20" customHeight="1">
      <c r="A84" s="7" t="n">
        <v>80</v>
      </c>
      <c r="B84" s="7" t="inlineStr">
        <is>
          <t>Todo</t>
        </is>
      </c>
      <c r="C84" s="8" t="inlineStr">
        <is>
          <t>Step 4: Binary Search</t>
        </is>
      </c>
      <c r="D84" s="8" t="inlineStr">
        <is>
          <t>Answers (Search Space)</t>
        </is>
      </c>
      <c r="E84" s="8" t="inlineStr">
        <is>
          <t>Minimum days to make M bouquets</t>
        </is>
      </c>
      <c r="F84" s="14" t="inlineStr">
        <is>
          <t>Medium</t>
        </is>
      </c>
      <c r="G84" s="15">
        <f>HYPERLINK("https://leetcode.com/problems/minimum-number-of-days-to-make-m-bouquets/", "LeetCode Practice")</f>
        <v/>
      </c>
      <c r="H84" s="21">
        <f>HYPERLINK("https://www.youtube.com/results?search_query=takeUforward+Minimum+days+to+make+M+bouquets", "YouTube Video")</f>
        <v/>
      </c>
    </row>
    <row r="85" ht="20" customHeight="1">
      <c r="A85" s="4" t="n">
        <v>81</v>
      </c>
      <c r="B85" s="4" t="inlineStr">
        <is>
          <t>Todo</t>
        </is>
      </c>
      <c r="C85" s="5" t="inlineStr">
        <is>
          <t>Step 4: Binary Search</t>
        </is>
      </c>
      <c r="D85" s="5" t="inlineStr">
        <is>
          <t>Answers (Search Space)</t>
        </is>
      </c>
      <c r="E85" s="5" t="inlineStr">
        <is>
          <t>Find the smallest divisor given a threshold</t>
        </is>
      </c>
      <c r="F85" s="17" t="inlineStr">
        <is>
          <t>Medium</t>
        </is>
      </c>
      <c r="G85" s="13">
        <f>HYPERLINK("https://leetcode.com/problems/find-the-smallest-divisor-given-a-threshold/", "LeetCode Practice")</f>
        <v/>
      </c>
      <c r="H85" s="20">
        <f>HYPERLINK("https://www.youtube.com/results?search_query=takeUforward+Find+the+smallest+divisor+given+a+threshold", "YouTube Video")</f>
        <v/>
      </c>
    </row>
    <row r="86" ht="20" customHeight="1">
      <c r="A86" s="7" t="n">
        <v>82</v>
      </c>
      <c r="B86" s="7" t="inlineStr">
        <is>
          <t>Todo</t>
        </is>
      </c>
      <c r="C86" s="8" t="inlineStr">
        <is>
          <t>Step 4: Binary Search</t>
        </is>
      </c>
      <c r="D86" s="8" t="inlineStr">
        <is>
          <t>Answers (Search Space)</t>
        </is>
      </c>
      <c r="E86" s="8" t="inlineStr">
        <is>
          <t>Capacity to Ship Packages within D Days</t>
        </is>
      </c>
      <c r="F86" s="14" t="inlineStr">
        <is>
          <t>Medium</t>
        </is>
      </c>
      <c r="G86" s="15">
        <f>HYPERLINK("https://leetcode.com/problems/capacity-to-ship-packages-within-d-days/", "LeetCode Practice")</f>
        <v/>
      </c>
      <c r="H86" s="21">
        <f>HYPERLINK("https://www.youtube.com/results?search_query=takeUforward+Capacity+to+Ship+Packages+within+D+Days", "YouTube Video")</f>
        <v/>
      </c>
    </row>
    <row r="87" ht="20" customHeight="1">
      <c r="A87" s="4" t="n">
        <v>83</v>
      </c>
      <c r="B87" s="4" t="inlineStr">
        <is>
          <t>Todo</t>
        </is>
      </c>
      <c r="C87" s="5" t="inlineStr">
        <is>
          <t>Step 4: Binary Search</t>
        </is>
      </c>
      <c r="D87" s="5" t="inlineStr">
        <is>
          <t>Answers (Search Space)</t>
        </is>
      </c>
      <c r="E87" s="5" t="inlineStr">
        <is>
          <t>Kth Missing Positive Number</t>
        </is>
      </c>
      <c r="F87" s="12" t="inlineStr">
        <is>
          <t>Easy</t>
        </is>
      </c>
      <c r="G87" s="13">
        <f>HYPERLINK("https://leetcode.com/problems/kth-missing-positive-number/", "LeetCode Practice")</f>
        <v/>
      </c>
      <c r="H87" s="20">
        <f>HYPERLINK("https://www.youtube.com/results?search_query=takeUforward+Kth+Missing+Positive+Number", "YouTube Video")</f>
        <v/>
      </c>
    </row>
    <row r="88" ht="20" customHeight="1">
      <c r="A88" s="7" t="n">
        <v>84</v>
      </c>
      <c r="B88" s="7" t="inlineStr">
        <is>
          <t>Todo</t>
        </is>
      </c>
      <c r="C88" s="8" t="inlineStr">
        <is>
          <t>Step 4: Binary Search</t>
        </is>
      </c>
      <c r="D88" s="8" t="inlineStr">
        <is>
          <t>Answers (Search Space)</t>
        </is>
      </c>
      <c r="E88" s="8" t="inlineStr">
        <is>
          <t>Aggressive Cows</t>
        </is>
      </c>
      <c r="F88" s="19" t="inlineStr">
        <is>
          <t>Hard</t>
        </is>
      </c>
      <c r="G88" s="15">
        <f>HYPERLINK("https://leetcode.com/problems/magnetic-force-between-two-balls/", "LeetCode Practice")</f>
        <v/>
      </c>
      <c r="H88" s="21">
        <f>HYPERLINK("https://www.youtube.com/results?search_query=takeUforward+Aggressive+Cows", "YouTube Video")</f>
        <v/>
      </c>
    </row>
    <row r="89" ht="20" customHeight="1">
      <c r="A89" s="4" t="n">
        <v>85</v>
      </c>
      <c r="B89" s="4" t="inlineStr">
        <is>
          <t>Todo</t>
        </is>
      </c>
      <c r="C89" s="5" t="inlineStr">
        <is>
          <t>Step 4: Binary Search</t>
        </is>
      </c>
      <c r="D89" s="5" t="inlineStr">
        <is>
          <t>Answers (Search Space)</t>
        </is>
      </c>
      <c r="E89" s="5" t="inlineStr">
        <is>
          <t>Book Allocation Problem</t>
        </is>
      </c>
      <c r="F89" s="18" t="inlineStr">
        <is>
          <t>Hard</t>
        </is>
      </c>
      <c r="G89" s="13">
        <f>HYPERLINK("https://leetcode.com/problems/split-array-largest-sum/", "LeetCode Practice")</f>
        <v/>
      </c>
      <c r="H89" s="20">
        <f>HYPERLINK("https://www.youtube.com/results?search_query=takeUforward+Book+Allocation+Problem", "YouTube Video")</f>
        <v/>
      </c>
    </row>
    <row r="90" ht="20" customHeight="1">
      <c r="A90" s="7" t="n">
        <v>86</v>
      </c>
      <c r="B90" s="7" t="inlineStr">
        <is>
          <t>Todo</t>
        </is>
      </c>
      <c r="C90" s="8" t="inlineStr">
        <is>
          <t>Step 4: Binary Search</t>
        </is>
      </c>
      <c r="D90" s="8" t="inlineStr">
        <is>
          <t>Answers (Search Space)</t>
        </is>
      </c>
      <c r="E90" s="8" t="inlineStr">
        <is>
          <t>Split Array - Largest Sum</t>
        </is>
      </c>
      <c r="F90" s="19" t="inlineStr">
        <is>
          <t>Hard</t>
        </is>
      </c>
      <c r="G90" s="15">
        <f>HYPERLINK("https://leetcode.com/problems/split-array-largest-sum/", "LeetCode Practice")</f>
        <v/>
      </c>
      <c r="H90" s="21">
        <f>HYPERLINK("https://www.youtube.com/results?search_query=takeUforward+Split+Array+-+Largest+Sum", "YouTube Video")</f>
        <v/>
      </c>
    </row>
    <row r="91" ht="20" customHeight="1">
      <c r="A91" s="4" t="n">
        <v>87</v>
      </c>
      <c r="B91" s="4" t="inlineStr">
        <is>
          <t>Todo</t>
        </is>
      </c>
      <c r="C91" s="5" t="inlineStr">
        <is>
          <t>Step 4: Binary Search</t>
        </is>
      </c>
      <c r="D91" s="5" t="inlineStr">
        <is>
          <t>Answers (Search Space)</t>
        </is>
      </c>
      <c r="E91" s="5" t="inlineStr">
        <is>
          <t>Painter's Partition Problem</t>
        </is>
      </c>
      <c r="F91" s="18" t="inlineStr">
        <is>
          <t>Hard</t>
        </is>
      </c>
      <c r="G91" s="13">
        <f>HYPERLINK("https://leetcode.com/problems/split-array-largest-sum/", "LeetCode Practice")</f>
        <v/>
      </c>
      <c r="H91" s="20">
        <f>HYPERLINK("https://www.youtube.com/results?search_query=takeUforward+Painter%27s+Partition+Problem", "YouTube Video")</f>
        <v/>
      </c>
    </row>
    <row r="92" ht="20" customHeight="1">
      <c r="A92" s="7" t="n">
        <v>88</v>
      </c>
      <c r="B92" s="7" t="inlineStr">
        <is>
          <t>Todo</t>
        </is>
      </c>
      <c r="C92" s="8" t="inlineStr">
        <is>
          <t>Step 4: Binary Search</t>
        </is>
      </c>
      <c r="D92" s="8" t="inlineStr">
        <is>
          <t>Answers (Search Space)</t>
        </is>
      </c>
      <c r="E92" s="8" t="inlineStr">
        <is>
          <t>Minimize Max Distance to Gas Station</t>
        </is>
      </c>
      <c r="F92" s="19" t="inlineStr">
        <is>
          <t>Hard</t>
        </is>
      </c>
      <c r="G92" s="15">
        <f>HYPERLINK("https://leetcode.com/problems/minimize-max-distance-to-gas-station/", "LeetCode Practice")</f>
        <v/>
      </c>
      <c r="H92" s="21">
        <f>HYPERLINK("https://www.youtube.com/results?search_query=takeUforward+Minimize+Max+Distance+to+Gas+Station", "YouTube Video")</f>
        <v/>
      </c>
    </row>
    <row r="93" ht="20" customHeight="1">
      <c r="A93" s="4" t="n">
        <v>89</v>
      </c>
      <c r="B93" s="4" t="inlineStr">
        <is>
          <t>Todo</t>
        </is>
      </c>
      <c r="C93" s="5" t="inlineStr">
        <is>
          <t>Step 4: Binary Search</t>
        </is>
      </c>
      <c r="D93" s="5" t="inlineStr">
        <is>
          <t>Answers (Search Space)</t>
        </is>
      </c>
      <c r="E93" s="5" t="inlineStr">
        <is>
          <t>Median of 2 Sorted Arrays of Different Sizes</t>
        </is>
      </c>
      <c r="F93" s="18" t="inlineStr">
        <is>
          <t>Hard</t>
        </is>
      </c>
      <c r="G93" s="13">
        <f>HYPERLINK("https://leetcode.com/problems/median-of-two-sorted-arrays/", "LeetCode Practice")</f>
        <v/>
      </c>
      <c r="H93" s="20">
        <f>HYPERLINK("https://www.youtube.com/results?search_query=takeUforward+Median+of+2+Sorted+Arrays+of+Different+Sizes", "YouTube Video")</f>
        <v/>
      </c>
    </row>
    <row r="94" ht="20" customHeight="1">
      <c r="A94" s="7" t="n">
        <v>90</v>
      </c>
      <c r="B94" s="7" t="inlineStr">
        <is>
          <t>Todo</t>
        </is>
      </c>
      <c r="C94" s="8" t="inlineStr">
        <is>
          <t>Step 4: Binary Search</t>
        </is>
      </c>
      <c r="D94" s="8" t="inlineStr">
        <is>
          <t>Answers (Search Space)</t>
        </is>
      </c>
      <c r="E94" s="8" t="inlineStr">
        <is>
          <t>Kth Element of two sorted arrays</t>
        </is>
      </c>
      <c r="F94" s="14" t="inlineStr">
        <is>
          <t>Medium</t>
        </is>
      </c>
      <c r="G94" s="15">
        <f>HYPERLINK("https://leetcode.com/problems/kth-smallest-element-in-a-sorted-matrix/", "LeetCode Practice")</f>
        <v/>
      </c>
      <c r="H94" s="21">
        <f>HYPERLINK("https://www.youtube.com/results?search_query=takeUforward+Kth+Element+of+two+sorted+arrays", "YouTube Video")</f>
        <v/>
      </c>
    </row>
    <row r="95" ht="20" customHeight="1">
      <c r="A95" s="4" t="n">
        <v>91</v>
      </c>
      <c r="B95" s="4" t="inlineStr">
        <is>
          <t>Todo</t>
        </is>
      </c>
      <c r="C95" s="5" t="inlineStr">
        <is>
          <t>Step 4: Binary Search</t>
        </is>
      </c>
      <c r="D95" s="5" t="inlineStr">
        <is>
          <t>2D Arrays</t>
        </is>
      </c>
      <c r="E95" s="5" t="inlineStr">
        <is>
          <t>Find the row with maximum number of 1's</t>
        </is>
      </c>
      <c r="F95" s="17" t="inlineStr">
        <is>
          <t>Medium</t>
        </is>
      </c>
      <c r="G95" s="13">
        <f>HYPERLINK("https://leetcode.com/problems/row-with-maximum-ones/", "LeetCode Practice")</f>
        <v/>
      </c>
      <c r="H95" s="20">
        <f>HYPERLINK("https://www.youtube.com/results?search_query=takeUforward+Find+the+row+with+maximum+number+of+1%27s", "YouTube Video")</f>
        <v/>
      </c>
    </row>
    <row r="96" ht="20" customHeight="1">
      <c r="A96" s="7" t="n">
        <v>92</v>
      </c>
      <c r="B96" s="7" t="inlineStr">
        <is>
          <t>Todo</t>
        </is>
      </c>
      <c r="C96" s="8" t="inlineStr">
        <is>
          <t>Step 4: Binary Search</t>
        </is>
      </c>
      <c r="D96" s="8" t="inlineStr">
        <is>
          <t>2D Arrays</t>
        </is>
      </c>
      <c r="E96" s="8" t="inlineStr">
        <is>
          <t>Search in a 2D Matrix</t>
        </is>
      </c>
      <c r="F96" s="14" t="inlineStr">
        <is>
          <t>Medium</t>
        </is>
      </c>
      <c r="G96" s="15">
        <f>HYPERLINK("https://leetcode.com/problems/search-a-2d-matrix/", "LeetCode Practice")</f>
        <v/>
      </c>
      <c r="H96" s="21">
        <f>HYPERLINK("https://www.youtube.com/results?search_query=takeUforward+Search+in+a+2D+Matrix", "YouTube Video")</f>
        <v/>
      </c>
    </row>
    <row r="97" ht="20" customHeight="1">
      <c r="A97" s="4" t="n">
        <v>93</v>
      </c>
      <c r="B97" s="4" t="inlineStr">
        <is>
          <t>Todo</t>
        </is>
      </c>
      <c r="C97" s="5" t="inlineStr">
        <is>
          <t>Step 4: Binary Search</t>
        </is>
      </c>
      <c r="D97" s="5" t="inlineStr">
        <is>
          <t>2D Arrays</t>
        </is>
      </c>
      <c r="E97" s="5" t="inlineStr">
        <is>
          <t>Search in a Row and Column-wise Sorted Matrix</t>
        </is>
      </c>
      <c r="F97" s="17" t="inlineStr">
        <is>
          <t>Medium</t>
        </is>
      </c>
      <c r="G97" s="13">
        <f>HYPERLINK("https://leetcode.com/problems/search-a-2d-matrix-ii/", "LeetCode Practice")</f>
        <v/>
      </c>
      <c r="H97" s="20">
        <f>HYPERLINK("https://www.youtube.com/results?search_query=takeUforward+Search+in+a+Row+and+Column-wise+Sorted+Matrix", "YouTube Video")</f>
        <v/>
      </c>
    </row>
    <row r="98" ht="20" customHeight="1">
      <c r="A98" s="7" t="n">
        <v>94</v>
      </c>
      <c r="B98" s="7" t="inlineStr">
        <is>
          <t>Todo</t>
        </is>
      </c>
      <c r="C98" s="8" t="inlineStr">
        <is>
          <t>Step 4: Binary Search</t>
        </is>
      </c>
      <c r="D98" s="8" t="inlineStr">
        <is>
          <t>2D Arrays</t>
        </is>
      </c>
      <c r="E98" s="8" t="inlineStr">
        <is>
          <t>Find Peak Element (2D Matrix)</t>
        </is>
      </c>
      <c r="F98" s="14" t="inlineStr">
        <is>
          <t>Medium</t>
        </is>
      </c>
      <c r="G98" s="15">
        <f>HYPERLINK("https://leetcode.com/problems/find-a-peak-element-ii/", "LeetCode Practice")</f>
        <v/>
      </c>
      <c r="H98" s="21">
        <f>HYPERLINK("https://www.youtube.com/results?search_query=takeUforward+Find+Peak+Element+%282D+Matrix%29", "YouTube Video")</f>
        <v/>
      </c>
    </row>
    <row r="99" ht="20" customHeight="1">
      <c r="A99" s="4" t="n">
        <v>95</v>
      </c>
      <c r="B99" s="4" t="inlineStr">
        <is>
          <t>Todo</t>
        </is>
      </c>
      <c r="C99" s="5" t="inlineStr">
        <is>
          <t>Step 4: Binary Search</t>
        </is>
      </c>
      <c r="D99" s="5" t="inlineStr">
        <is>
          <t>2D Arrays</t>
        </is>
      </c>
      <c r="E99" s="5" t="inlineStr">
        <is>
          <t>Matrix Median</t>
        </is>
      </c>
      <c r="F99" s="18" t="inlineStr">
        <is>
          <t>Hard</t>
        </is>
      </c>
      <c r="G99" s="13">
        <f>HYPERLINK("https://leetcode.com/problems/kth-smallest-element-in-a-sorted-matrix/", "LeetCode Practice")</f>
        <v/>
      </c>
      <c r="H99" s="20">
        <f>HYPERLINK("https://www.youtube.com/results?search_query=takeUforward+Matrix+Median", "YouTube Video")</f>
        <v/>
      </c>
    </row>
    <row r="100" ht="20" customHeight="1">
      <c r="A100" s="7" t="n">
        <v>96</v>
      </c>
      <c r="B100" s="7" t="inlineStr">
        <is>
          <t>Todo</t>
        </is>
      </c>
      <c r="C100" s="8" t="inlineStr">
        <is>
          <t>Step 5: Strings</t>
        </is>
      </c>
      <c r="D100" s="8" t="inlineStr">
        <is>
          <t>Basic</t>
        </is>
      </c>
      <c r="E100" s="8" t="inlineStr">
        <is>
          <t>Remove Outermost Parentheses</t>
        </is>
      </c>
      <c r="F100" s="16" t="inlineStr">
        <is>
          <t>Easy</t>
        </is>
      </c>
      <c r="G100" s="15">
        <f>HYPERLINK("https://leetcode.com/problems/remove-outermost-parentheses/", "LeetCode Practice")</f>
        <v/>
      </c>
      <c r="H100" s="21">
        <f>HYPERLINK("https://www.youtube.com/results?search_query=takeUforward+Remove+Outermost+Parentheses", "YouTube Video")</f>
        <v/>
      </c>
    </row>
    <row r="101" ht="20" customHeight="1">
      <c r="A101" s="4" t="n">
        <v>97</v>
      </c>
      <c r="B101" s="4" t="inlineStr">
        <is>
          <t>Todo</t>
        </is>
      </c>
      <c r="C101" s="5" t="inlineStr">
        <is>
          <t>Step 5: Strings</t>
        </is>
      </c>
      <c r="D101" s="5" t="inlineStr">
        <is>
          <t>Basic</t>
        </is>
      </c>
      <c r="E101" s="5" t="inlineStr">
        <is>
          <t>Reverse Words in a String</t>
        </is>
      </c>
      <c r="F101" s="17" t="inlineStr">
        <is>
          <t>Medium</t>
        </is>
      </c>
      <c r="G101" s="13">
        <f>HYPERLINK("https://leetcode.com/problems/reverse-words-in-a-string/", "LeetCode Practice")</f>
        <v/>
      </c>
      <c r="H101" s="20">
        <f>HYPERLINK("https://www.youtube.com/results?search_query=takeUforward+Reverse+Words+in+a+String", "YouTube Video")</f>
        <v/>
      </c>
    </row>
    <row r="102" ht="20" customHeight="1">
      <c r="A102" s="7" t="n">
        <v>98</v>
      </c>
      <c r="B102" s="7" t="inlineStr">
        <is>
          <t>Todo</t>
        </is>
      </c>
      <c r="C102" s="8" t="inlineStr">
        <is>
          <t>Step 5: Strings</t>
        </is>
      </c>
      <c r="D102" s="8" t="inlineStr">
        <is>
          <t>Basic</t>
        </is>
      </c>
      <c r="E102" s="8" t="inlineStr">
        <is>
          <t>Largest Odd Number in String</t>
        </is>
      </c>
      <c r="F102" s="16" t="inlineStr">
        <is>
          <t>Easy</t>
        </is>
      </c>
      <c r="G102" s="15">
        <f>HYPERLINK("https://leetcode.com/problems/largest-odd-number-in-string/", "LeetCode Practice")</f>
        <v/>
      </c>
      <c r="H102" s="21">
        <f>HYPERLINK("https://www.youtube.com/results?search_query=takeUforward+Largest+Odd+Number+in+String", "YouTube Video")</f>
        <v/>
      </c>
    </row>
    <row r="103" ht="20" customHeight="1">
      <c r="A103" s="4" t="n">
        <v>99</v>
      </c>
      <c r="B103" s="4" t="inlineStr">
        <is>
          <t>Todo</t>
        </is>
      </c>
      <c r="C103" s="5" t="inlineStr">
        <is>
          <t>Step 5: Strings</t>
        </is>
      </c>
      <c r="D103" s="5" t="inlineStr">
        <is>
          <t>Basic</t>
        </is>
      </c>
      <c r="E103" s="5" t="inlineStr">
        <is>
          <t>Longest Common Prefix</t>
        </is>
      </c>
      <c r="F103" s="12" t="inlineStr">
        <is>
          <t>Easy</t>
        </is>
      </c>
      <c r="G103" s="13">
        <f>HYPERLINK("https://leetcode.com/problems/longest-common-prefix/", "LeetCode Practice")</f>
        <v/>
      </c>
      <c r="H103" s="20">
        <f>HYPERLINK("https://www.youtube.com/results?search_query=takeUforward+Longest+Common+Prefix", "YouTube Video")</f>
        <v/>
      </c>
    </row>
    <row r="104" ht="20" customHeight="1">
      <c r="A104" s="7" t="n">
        <v>100</v>
      </c>
      <c r="B104" s="7" t="inlineStr">
        <is>
          <t>Todo</t>
        </is>
      </c>
      <c r="C104" s="8" t="inlineStr">
        <is>
          <t>Step 5: Strings</t>
        </is>
      </c>
      <c r="D104" s="8" t="inlineStr">
        <is>
          <t>Basic</t>
        </is>
      </c>
      <c r="E104" s="8" t="inlineStr">
        <is>
          <t>Isomorphic String</t>
        </is>
      </c>
      <c r="F104" s="16" t="inlineStr">
        <is>
          <t>Easy</t>
        </is>
      </c>
      <c r="G104" s="15">
        <f>HYPERLINK("https://leetcode.com/problems/isomorphic-strings/", "LeetCode Practice")</f>
        <v/>
      </c>
      <c r="H104" s="21">
        <f>HYPERLINK("https://www.youtube.com/results?search_query=takeUforward+Isomorphic+String", "YouTube Video")</f>
        <v/>
      </c>
    </row>
    <row r="105" ht="20" customHeight="1">
      <c r="A105" s="4" t="n">
        <v>101</v>
      </c>
      <c r="B105" s="4" t="inlineStr">
        <is>
          <t>Todo</t>
        </is>
      </c>
      <c r="C105" s="5" t="inlineStr">
        <is>
          <t>Step 5: Strings</t>
        </is>
      </c>
      <c r="D105" s="5" t="inlineStr">
        <is>
          <t>Basic</t>
        </is>
      </c>
      <c r="E105" s="5" t="inlineStr">
        <is>
          <t>Check whether one string is a rotation of another</t>
        </is>
      </c>
      <c r="F105" s="12" t="inlineStr">
        <is>
          <t>Easy</t>
        </is>
      </c>
      <c r="G105" s="13">
        <f>HYPERLINK("https://leetcode.com/problems/rotate-string/", "LeetCode Practice")</f>
        <v/>
      </c>
      <c r="H105" s="20">
        <f>HYPERLINK("https://www.youtube.com/results?search_query=takeUforward+Check+whether+one+string+is+a+rotation+of+another", "YouTube Video")</f>
        <v/>
      </c>
    </row>
    <row r="106" ht="20" customHeight="1">
      <c r="A106" s="7" t="n">
        <v>102</v>
      </c>
      <c r="B106" s="7" t="inlineStr">
        <is>
          <t>Todo</t>
        </is>
      </c>
      <c r="C106" s="8" t="inlineStr">
        <is>
          <t>Step 5: Strings</t>
        </is>
      </c>
      <c r="D106" s="8" t="inlineStr">
        <is>
          <t>Basic</t>
        </is>
      </c>
      <c r="E106" s="8" t="inlineStr">
        <is>
          <t>Check if two Strings are anagrams of each other</t>
        </is>
      </c>
      <c r="F106" s="16" t="inlineStr">
        <is>
          <t>Easy</t>
        </is>
      </c>
      <c r="G106" s="15">
        <f>HYPERLINK("https://leetcode.com/problems/valid-anagram/", "LeetCode Practice")</f>
        <v/>
      </c>
      <c r="H106" s="21">
        <f>HYPERLINK("https://www.youtube.com/results?search_query=takeUforward+Check+if+two+Strings+are+anagrams+of+each+other", "YouTube Video")</f>
        <v/>
      </c>
    </row>
    <row r="107" ht="20" customHeight="1">
      <c r="A107" s="4" t="n">
        <v>103</v>
      </c>
      <c r="B107" s="4" t="inlineStr">
        <is>
          <t>Todo</t>
        </is>
      </c>
      <c r="C107" s="5" t="inlineStr">
        <is>
          <t>Step 5: Strings</t>
        </is>
      </c>
      <c r="D107" s="5" t="inlineStr">
        <is>
          <t>Medium</t>
        </is>
      </c>
      <c r="E107" s="5" t="inlineStr">
        <is>
          <t>Sort Characters by frequency</t>
        </is>
      </c>
      <c r="F107" s="17" t="inlineStr">
        <is>
          <t>Medium</t>
        </is>
      </c>
      <c r="G107" s="13">
        <f>HYPERLINK("https://leetcode.com/problems/sort-characters-by-frequency/", "LeetCode Practice")</f>
        <v/>
      </c>
      <c r="H107" s="20">
        <f>HYPERLINK("https://www.youtube.com/results?search_query=takeUforward+Sort+Characters+by+frequency", "YouTube Video")</f>
        <v/>
      </c>
    </row>
    <row r="108" ht="20" customHeight="1">
      <c r="A108" s="7" t="n">
        <v>104</v>
      </c>
      <c r="B108" s="7" t="inlineStr">
        <is>
          <t>Todo</t>
        </is>
      </c>
      <c r="C108" s="8" t="inlineStr">
        <is>
          <t>Step 5: Strings</t>
        </is>
      </c>
      <c r="D108" s="8" t="inlineStr">
        <is>
          <t>Medium</t>
        </is>
      </c>
      <c r="E108" s="8" t="inlineStr">
        <is>
          <t>Maximum Nesting Depth of Parentheses</t>
        </is>
      </c>
      <c r="F108" s="16" t="inlineStr">
        <is>
          <t>Easy</t>
        </is>
      </c>
      <c r="G108" s="15">
        <f>HYPERLINK("https://leetcode.com/problems/maximum-nesting-depth-of-the-parentheses/", "LeetCode Practice")</f>
        <v/>
      </c>
      <c r="H108" s="21">
        <f>HYPERLINK("https://www.youtube.com/results?search_query=takeUforward+Maximum+Nesting+Depth+of+Parentheses", "YouTube Video")</f>
        <v/>
      </c>
    </row>
    <row r="109" ht="20" customHeight="1">
      <c r="A109" s="4" t="n">
        <v>105</v>
      </c>
      <c r="B109" s="4" t="inlineStr">
        <is>
          <t>Todo</t>
        </is>
      </c>
      <c r="C109" s="5" t="inlineStr">
        <is>
          <t>Step 5: Strings</t>
        </is>
      </c>
      <c r="D109" s="5" t="inlineStr">
        <is>
          <t>Medium</t>
        </is>
      </c>
      <c r="E109" s="5" t="inlineStr">
        <is>
          <t>Roman to Integer</t>
        </is>
      </c>
      <c r="F109" s="12" t="inlineStr">
        <is>
          <t>Easy</t>
        </is>
      </c>
      <c r="G109" s="13">
        <f>HYPERLINK("https://leetcode.com/problems/roman-to-integer/", "LeetCode Practice")</f>
        <v/>
      </c>
      <c r="H109" s="20">
        <f>HYPERLINK("https://www.youtube.com/results?search_query=takeUforward+Roman+to+Integer", "YouTube Video")</f>
        <v/>
      </c>
    </row>
    <row r="110" ht="20" customHeight="1">
      <c r="A110" s="7" t="n">
        <v>106</v>
      </c>
      <c r="B110" s="7" t="inlineStr">
        <is>
          <t>Todo</t>
        </is>
      </c>
      <c r="C110" s="8" t="inlineStr">
        <is>
          <t>Step 5: Strings</t>
        </is>
      </c>
      <c r="D110" s="8" t="inlineStr">
        <is>
          <t>Medium</t>
        </is>
      </c>
      <c r="E110" s="8" t="inlineStr">
        <is>
          <t>Integer to Roman</t>
        </is>
      </c>
      <c r="F110" s="14" t="inlineStr">
        <is>
          <t>Medium</t>
        </is>
      </c>
      <c r="G110" s="15">
        <f>HYPERLINK("https://leetcode.com/problems/integer-to-roman/", "LeetCode Practice")</f>
        <v/>
      </c>
      <c r="H110" s="21">
        <f>HYPERLINK("https://www.youtube.com/results?search_query=takeUforward+Integer+to+Roman", "YouTube Video")</f>
        <v/>
      </c>
    </row>
    <row r="111" ht="20" customHeight="1">
      <c r="A111" s="4" t="n">
        <v>107</v>
      </c>
      <c r="B111" s="4" t="inlineStr">
        <is>
          <t>Todo</t>
        </is>
      </c>
      <c r="C111" s="5" t="inlineStr">
        <is>
          <t>Step 5: Strings</t>
        </is>
      </c>
      <c r="D111" s="5" t="inlineStr">
        <is>
          <t>Medium</t>
        </is>
      </c>
      <c r="E111" s="5" t="inlineStr">
        <is>
          <t>String to Integer (atoi)</t>
        </is>
      </c>
      <c r="F111" s="17" t="inlineStr">
        <is>
          <t>Medium</t>
        </is>
      </c>
      <c r="G111" s="13">
        <f>HYPERLINK("https://leetcode.com/problems/string-to-integer-atoi/", "LeetCode Practice")</f>
        <v/>
      </c>
      <c r="H111" s="20">
        <f>HYPERLINK("https://www.youtube.com/results?search_query=takeUforward+String+to+Integer+%28atoi%29", "YouTube Video")</f>
        <v/>
      </c>
    </row>
    <row r="112" ht="20" customHeight="1">
      <c r="A112" s="7" t="n">
        <v>108</v>
      </c>
      <c r="B112" s="7" t="inlineStr">
        <is>
          <t>Todo</t>
        </is>
      </c>
      <c r="C112" s="8" t="inlineStr">
        <is>
          <t>Step 5: Strings</t>
        </is>
      </c>
      <c r="D112" s="8" t="inlineStr">
        <is>
          <t>Medium</t>
        </is>
      </c>
      <c r="E112" s="8" t="inlineStr">
        <is>
          <t>Count number of Substrings with K distinct characters</t>
        </is>
      </c>
      <c r="F112" s="14" t="inlineStr">
        <is>
          <t>Medium</t>
        </is>
      </c>
      <c r="G112" s="15">
        <f>HYPERLINK("https://leetcode.com/problems/subarrays-with-k-different-integers/", "LeetCode Practice")</f>
        <v/>
      </c>
      <c r="H112" s="21">
        <f>HYPERLINK("https://www.youtube.com/results?search_query=takeUforward+Count+number+of+Substrings+with+K+distinct+characters", "YouTube Video")</f>
        <v/>
      </c>
    </row>
    <row r="113" ht="20" customHeight="1">
      <c r="A113" s="4" t="n">
        <v>109</v>
      </c>
      <c r="B113" s="4" t="inlineStr">
        <is>
          <t>Todo</t>
        </is>
      </c>
      <c r="C113" s="5" t="inlineStr">
        <is>
          <t>Step 5: Strings</t>
        </is>
      </c>
      <c r="D113" s="5" t="inlineStr">
        <is>
          <t>Medium</t>
        </is>
      </c>
      <c r="E113" s="5" t="inlineStr">
        <is>
          <t>Longest Palindromic Substring</t>
        </is>
      </c>
      <c r="F113" s="17" t="inlineStr">
        <is>
          <t>Medium</t>
        </is>
      </c>
      <c r="G113" s="13">
        <f>HYPERLINK("https://leetcode.com/problems/longest-palindromic-substring/", "LeetCode Practice")</f>
        <v/>
      </c>
      <c r="H113" s="20">
        <f>HYPERLINK("https://www.youtube.com/results?search_query=takeUforward+Longest+Palindromic+Substring", "YouTube Video")</f>
        <v/>
      </c>
    </row>
    <row r="114" ht="20" customHeight="1">
      <c r="A114" s="7" t="n">
        <v>110</v>
      </c>
      <c r="B114" s="7" t="inlineStr">
        <is>
          <t>Todo</t>
        </is>
      </c>
      <c r="C114" s="8" t="inlineStr">
        <is>
          <t>Step 5: Strings</t>
        </is>
      </c>
      <c r="D114" s="8" t="inlineStr">
        <is>
          <t>Medium</t>
        </is>
      </c>
      <c r="E114" s="8" t="inlineStr">
        <is>
          <t>Sum of Beauty of all Substrings</t>
        </is>
      </c>
      <c r="F114" s="14" t="inlineStr">
        <is>
          <t>Medium</t>
        </is>
      </c>
      <c r="G114" s="15">
        <f>HYPERLINK("https://leetcode.com/problems/substring-with-largest-variance/", "LeetCode Practice")</f>
        <v/>
      </c>
      <c r="H114" s="21">
        <f>HYPERLINK("https://www.youtube.com/results?search_query=takeUforward+Sum+of+Beauty+of+all+Substrings", "YouTube Video")</f>
        <v/>
      </c>
    </row>
    <row r="115" ht="20" customHeight="1">
      <c r="A115" s="4" t="n">
        <v>111</v>
      </c>
      <c r="B115" s="4" t="inlineStr">
        <is>
          <t>Todo</t>
        </is>
      </c>
      <c r="C115" s="5" t="inlineStr">
        <is>
          <t>Step 5: Strings</t>
        </is>
      </c>
      <c r="D115" s="5" t="inlineStr">
        <is>
          <t>Medium</t>
        </is>
      </c>
      <c r="E115" s="5" t="inlineStr">
        <is>
          <t>Reverse Every Word in a String</t>
        </is>
      </c>
      <c r="F115" s="12" t="inlineStr">
        <is>
          <t>Easy</t>
        </is>
      </c>
      <c r="G115" s="13">
        <f>HYPERLINK("https://leetcode.com/problems/reverse-words-in-a-string-iii/", "LeetCode Practice")</f>
        <v/>
      </c>
      <c r="H115" s="20">
        <f>HYPERLINK("https://www.youtube.com/results?search_query=takeUforward+Reverse+Every+Word+in+a+String", "YouTube Video")</f>
        <v/>
      </c>
    </row>
    <row r="116" ht="20" customHeight="1">
      <c r="A116" s="7" t="n">
        <v>112</v>
      </c>
      <c r="B116" s="7" t="inlineStr">
        <is>
          <t>Todo</t>
        </is>
      </c>
      <c r="C116" s="8" t="inlineStr">
        <is>
          <t>Step 6: LinkedList</t>
        </is>
      </c>
      <c r="D116" s="8" t="inlineStr">
        <is>
          <t>1D LinkedList</t>
        </is>
      </c>
      <c r="E116" s="8" t="inlineStr">
        <is>
          <t>Introduction to LinkedList, Learn about struct/class</t>
        </is>
      </c>
      <c r="F116" s="16" t="inlineStr">
        <is>
          <t>Easy</t>
        </is>
      </c>
      <c r="G116" s="15">
        <f>HYPERLINK("https://leetcode.com/problems/design-linked-list/", "LeetCode Practice")</f>
        <v/>
      </c>
      <c r="H116" s="21">
        <f>HYPERLINK("https://www.youtube.com/results?search_query=takeUforward+Introduction+to+LinkedList%2C+Learn+about+struct+class", "YouTube Video")</f>
        <v/>
      </c>
    </row>
    <row r="117" ht="20" customHeight="1">
      <c r="A117" s="4" t="n">
        <v>113</v>
      </c>
      <c r="B117" s="4" t="inlineStr">
        <is>
          <t>Todo</t>
        </is>
      </c>
      <c r="C117" s="5" t="inlineStr">
        <is>
          <t>Step 6: LinkedList</t>
        </is>
      </c>
      <c r="D117" s="5" t="inlineStr">
        <is>
          <t>1D LinkedList</t>
        </is>
      </c>
      <c r="E117" s="5" t="inlineStr">
        <is>
          <t>Inserting a node in LinkedList</t>
        </is>
      </c>
      <c r="F117" s="12" t="inlineStr">
        <is>
          <t>Easy</t>
        </is>
      </c>
      <c r="G117" s="13">
        <f>HYPERLINK("https://leetcode.com/problems/insert-into-a-sorted-circular-linked-list/", "LeetCode Practice")</f>
        <v/>
      </c>
      <c r="H117" s="20">
        <f>HYPERLINK("https://www.youtube.com/results?search_query=takeUforward+Inserting+a+node+in+LinkedList", "YouTube Video")</f>
        <v/>
      </c>
    </row>
    <row r="118" ht="20" customHeight="1">
      <c r="A118" s="7" t="n">
        <v>114</v>
      </c>
      <c r="B118" s="7" t="inlineStr">
        <is>
          <t>Todo</t>
        </is>
      </c>
      <c r="C118" s="8" t="inlineStr">
        <is>
          <t>Step 6: LinkedList</t>
        </is>
      </c>
      <c r="D118" s="8" t="inlineStr">
        <is>
          <t>1D LinkedList</t>
        </is>
      </c>
      <c r="E118" s="8" t="inlineStr">
        <is>
          <t>Deleting a node in LinkedList</t>
        </is>
      </c>
      <c r="F118" s="14" t="inlineStr">
        <is>
          <t>Medium</t>
        </is>
      </c>
      <c r="G118" s="15">
        <f>HYPERLINK("https://leetcode.com/problems/delete-node-in-a-linked-list/", "LeetCode Practice")</f>
        <v/>
      </c>
      <c r="H118" s="21">
        <f>HYPERLINK("https://www.youtube.com/results?search_query=takeUforward+Deleting+a+node+in+LinkedList", "YouTube Video")</f>
        <v/>
      </c>
    </row>
    <row r="119" ht="20" customHeight="1">
      <c r="A119" s="4" t="n">
        <v>115</v>
      </c>
      <c r="B119" s="4" t="inlineStr">
        <is>
          <t>Todo</t>
        </is>
      </c>
      <c r="C119" s="5" t="inlineStr">
        <is>
          <t>Step 6: LinkedList</t>
        </is>
      </c>
      <c r="D119" s="5" t="inlineStr">
        <is>
          <t>1D LinkedList</t>
        </is>
      </c>
      <c r="E119" s="5" t="inlineStr">
        <is>
          <t>Find the length of the linkedlist</t>
        </is>
      </c>
      <c r="F119" s="12" t="inlineStr">
        <is>
          <t>Easy</t>
        </is>
      </c>
      <c r="G119" s="13">
        <f>HYPERLINK("https://leetcode.com/problems/middle-of-the-linked-list/", "LeetCode Practice")</f>
        <v/>
      </c>
      <c r="H119" s="20">
        <f>HYPERLINK("https://www.youtube.com/results?search_query=takeUforward+Find+the+length+of+the+linkedlist", "YouTube Video")</f>
        <v/>
      </c>
    </row>
    <row r="120" ht="20" customHeight="1">
      <c r="A120" s="7" t="n">
        <v>116</v>
      </c>
      <c r="B120" s="7" t="inlineStr">
        <is>
          <t>Todo</t>
        </is>
      </c>
      <c r="C120" s="8" t="inlineStr">
        <is>
          <t>Step 6: LinkedList</t>
        </is>
      </c>
      <c r="D120" s="8" t="inlineStr">
        <is>
          <t>1D LinkedList</t>
        </is>
      </c>
      <c r="E120" s="8" t="inlineStr">
        <is>
          <t>Search an element in the LL</t>
        </is>
      </c>
      <c r="F120" s="16" t="inlineStr">
        <is>
          <t>Easy</t>
        </is>
      </c>
      <c r="G120" s="15">
        <f>HYPERLINK("https://leetcode.com/problems/middle-of-the-linked-list/", "LeetCode Practice")</f>
        <v/>
      </c>
      <c r="H120" s="21">
        <f>HYPERLINK("https://www.youtube.com/results?search_query=takeUforward+Search+an+element+in+the+LL", "YouTube Video")</f>
        <v/>
      </c>
    </row>
    <row r="121" ht="20" customHeight="1">
      <c r="A121" s="4" t="n">
        <v>117</v>
      </c>
      <c r="B121" s="4" t="inlineStr">
        <is>
          <t>Todo</t>
        </is>
      </c>
      <c r="C121" s="5" t="inlineStr">
        <is>
          <t>Step 6: LinkedList</t>
        </is>
      </c>
      <c r="D121" s="5" t="inlineStr">
        <is>
          <t>Doubly LinkedList</t>
        </is>
      </c>
      <c r="E121" s="5" t="inlineStr">
        <is>
          <t>Introduction to Doubly LinkedList</t>
        </is>
      </c>
      <c r="F121" s="17" t="inlineStr">
        <is>
          <t>Medium</t>
        </is>
      </c>
      <c r="G121" s="13">
        <f>HYPERLINK("https://leetcode.com/problems/design-linked-list/", "LeetCode Practice")</f>
        <v/>
      </c>
      <c r="H121" s="20">
        <f>HYPERLINK("https://www.youtube.com/results?search_query=takeUforward+Introduction+to+Doubly+LinkedList", "YouTube Video")</f>
        <v/>
      </c>
    </row>
    <row r="122" ht="20" customHeight="1">
      <c r="A122" s="7" t="n">
        <v>118</v>
      </c>
      <c r="B122" s="7" t="inlineStr">
        <is>
          <t>Todo</t>
        </is>
      </c>
      <c r="C122" s="8" t="inlineStr">
        <is>
          <t>Step 6: LinkedList</t>
        </is>
      </c>
      <c r="D122" s="8" t="inlineStr">
        <is>
          <t>Doubly LinkedList</t>
        </is>
      </c>
      <c r="E122" s="8" t="inlineStr">
        <is>
          <t>Insert a node in DLL</t>
        </is>
      </c>
      <c r="F122" s="14" t="inlineStr">
        <is>
          <t>Medium</t>
        </is>
      </c>
      <c r="G122" s="15">
        <f>HYPERLINK("https://leetcode.com/problems/design-browser-history/", "LeetCode Practice")</f>
        <v/>
      </c>
      <c r="H122" s="21">
        <f>HYPERLINK("https://www.youtube.com/results?search_query=takeUforward+Insert+a+node+in+DLL", "YouTube Video")</f>
        <v/>
      </c>
    </row>
    <row r="123" ht="20" customHeight="1">
      <c r="A123" s="4" t="n">
        <v>119</v>
      </c>
      <c r="B123" s="4" t="inlineStr">
        <is>
          <t>Todo</t>
        </is>
      </c>
      <c r="C123" s="5" t="inlineStr">
        <is>
          <t>Step 6: LinkedList</t>
        </is>
      </c>
      <c r="D123" s="5" t="inlineStr">
        <is>
          <t>Doubly LinkedList</t>
        </is>
      </c>
      <c r="E123" s="5" t="inlineStr">
        <is>
          <t>Delete a node in DLL</t>
        </is>
      </c>
      <c r="F123" s="17" t="inlineStr">
        <is>
          <t>Medium</t>
        </is>
      </c>
      <c r="G123" s="13">
        <f>HYPERLINK("https://leetcode.com/problems/design-browser-history/", "LeetCode Practice")</f>
        <v/>
      </c>
      <c r="H123" s="20">
        <f>HYPERLINK("https://www.youtube.com/results?search_query=takeUforward+Delete+a+node+in+DLL", "YouTube Video")</f>
        <v/>
      </c>
    </row>
    <row r="124" ht="20" customHeight="1">
      <c r="A124" s="7" t="n">
        <v>120</v>
      </c>
      <c r="B124" s="7" t="inlineStr">
        <is>
          <t>Todo</t>
        </is>
      </c>
      <c r="C124" s="8" t="inlineStr">
        <is>
          <t>Step 6: LinkedList</t>
        </is>
      </c>
      <c r="D124" s="8" t="inlineStr">
        <is>
          <t>Doubly LinkedList</t>
        </is>
      </c>
      <c r="E124" s="8" t="inlineStr">
        <is>
          <t>Reverse a Doubly Linked List</t>
        </is>
      </c>
      <c r="F124" s="14" t="inlineStr">
        <is>
          <t>Medium</t>
        </is>
      </c>
      <c r="G124" s="15">
        <f>HYPERLINK("https://leetcode.com/problems/reverse-nodes-in-k-group/", "LeetCode Practice")</f>
        <v/>
      </c>
      <c r="H124" s="21">
        <f>HYPERLINK("https://www.youtube.com/results?search_query=takeUforward+Reverse+a+Doubly+Linked+List", "YouTube Video")</f>
        <v/>
      </c>
    </row>
    <row r="125" ht="20" customHeight="1">
      <c r="A125" s="4" t="n">
        <v>121</v>
      </c>
      <c r="B125" s="4" t="inlineStr">
        <is>
          <t>Todo</t>
        </is>
      </c>
      <c r="C125" s="5" t="inlineStr">
        <is>
          <t>Step 6: LinkedList</t>
        </is>
      </c>
      <c r="D125" s="5" t="inlineStr">
        <is>
          <t>Medium Problems</t>
        </is>
      </c>
      <c r="E125" s="5" t="inlineStr">
        <is>
          <t>Middle of a LinkedList (Tortoise-Hare)</t>
        </is>
      </c>
      <c r="F125" s="12" t="inlineStr">
        <is>
          <t>Easy</t>
        </is>
      </c>
      <c r="G125" s="13">
        <f>HYPERLINK("https://leetcode.com/problems/middle-of-the-linked-list/", "LeetCode Practice")</f>
        <v/>
      </c>
      <c r="H125" s="20">
        <f>HYPERLINK("https://www.youtube.com/results?search_query=takeUforward+Middle+of+a+LinkedList+%28Tortoise-Hare%29", "YouTube Video")</f>
        <v/>
      </c>
    </row>
    <row r="126" ht="20" customHeight="1">
      <c r="A126" s="7" t="n">
        <v>122</v>
      </c>
      <c r="B126" s="7" t="inlineStr">
        <is>
          <t>Todo</t>
        </is>
      </c>
      <c r="C126" s="8" t="inlineStr">
        <is>
          <t>Step 6: LinkedList</t>
        </is>
      </c>
      <c r="D126" s="8" t="inlineStr">
        <is>
          <t>Medium Problems</t>
        </is>
      </c>
      <c r="E126" s="8" t="inlineStr">
        <is>
          <t>Reverse a LinkedList (Iterative &amp; Recursive)</t>
        </is>
      </c>
      <c r="F126" s="16" t="inlineStr">
        <is>
          <t>Easy</t>
        </is>
      </c>
      <c r="G126" s="15">
        <f>HYPERLINK("https://leetcode.com/problems/reverse-linked-list/", "LeetCode Practice")</f>
        <v/>
      </c>
      <c r="H126" s="21">
        <f>HYPERLINK("https://www.youtube.com/results?search_query=takeUforward+Reverse+a+LinkedList+%28Iterative+%26+Recursive%29", "YouTube Video")</f>
        <v/>
      </c>
    </row>
    <row r="127" ht="20" customHeight="1">
      <c r="A127" s="4" t="n">
        <v>123</v>
      </c>
      <c r="B127" s="4" t="inlineStr">
        <is>
          <t>Todo</t>
        </is>
      </c>
      <c r="C127" s="5" t="inlineStr">
        <is>
          <t>Step 6: LinkedList</t>
        </is>
      </c>
      <c r="D127" s="5" t="inlineStr">
        <is>
          <t>Medium Problems</t>
        </is>
      </c>
      <c r="E127" s="5" t="inlineStr">
        <is>
          <t>Detect a loop in LL</t>
        </is>
      </c>
      <c r="F127" s="12" t="inlineStr">
        <is>
          <t>Easy</t>
        </is>
      </c>
      <c r="G127" s="13">
        <f>HYPERLINK("https://leetcode.com/problems/linked-list-cycle/", "LeetCode Practice")</f>
        <v/>
      </c>
      <c r="H127" s="20">
        <f>HYPERLINK("https://www.youtube.com/results?search_query=takeUforward+Detect+a+loop+in+LL", "YouTube Video")</f>
        <v/>
      </c>
    </row>
    <row r="128" ht="20" customHeight="1">
      <c r="A128" s="7" t="n">
        <v>124</v>
      </c>
      <c r="B128" s="7" t="inlineStr">
        <is>
          <t>Todo</t>
        </is>
      </c>
      <c r="C128" s="8" t="inlineStr">
        <is>
          <t>Step 6: LinkedList</t>
        </is>
      </c>
      <c r="D128" s="8" t="inlineStr">
        <is>
          <t>Medium Problems</t>
        </is>
      </c>
      <c r="E128" s="8" t="inlineStr">
        <is>
          <t>Find the starting point of the loop of LinkedList</t>
        </is>
      </c>
      <c r="F128" s="14" t="inlineStr">
        <is>
          <t>Medium</t>
        </is>
      </c>
      <c r="G128" s="15">
        <f>HYPERLINK("https://leetcode.com/problems/linked-list-cycle-ii/", "LeetCode Practice")</f>
        <v/>
      </c>
      <c r="H128" s="21">
        <f>HYPERLINK("https://www.youtube.com/results?search_query=takeUforward+Find+the+starting+point+of+the+loop+of+LinkedList", "YouTube Video")</f>
        <v/>
      </c>
    </row>
    <row r="129" ht="20" customHeight="1">
      <c r="A129" s="4" t="n">
        <v>125</v>
      </c>
      <c r="B129" s="4" t="inlineStr">
        <is>
          <t>Todo</t>
        </is>
      </c>
      <c r="C129" s="5" t="inlineStr">
        <is>
          <t>Step 6: LinkedList</t>
        </is>
      </c>
      <c r="D129" s="5" t="inlineStr">
        <is>
          <t>Medium Problems</t>
        </is>
      </c>
      <c r="E129" s="5" t="inlineStr">
        <is>
          <t>Length of Loop in LinkedList</t>
        </is>
      </c>
      <c r="F129" s="12" t="inlineStr">
        <is>
          <t>Easy</t>
        </is>
      </c>
      <c r="G129" s="13">
        <f>HYPERLINK("https://leetcode.com/problems/linked-list-cycle/", "LeetCode Practice")</f>
        <v/>
      </c>
      <c r="H129" s="20">
        <f>HYPERLINK("https://www.youtube.com/results?search_query=takeUforward+Length+of+Loop+in+LinkedList", "YouTube Video")</f>
        <v/>
      </c>
    </row>
    <row r="130" ht="20" customHeight="1">
      <c r="A130" s="7" t="n">
        <v>126</v>
      </c>
      <c r="B130" s="7" t="inlineStr">
        <is>
          <t>Todo</t>
        </is>
      </c>
      <c r="C130" s="8" t="inlineStr">
        <is>
          <t>Step 6: LinkedList</t>
        </is>
      </c>
      <c r="D130" s="8" t="inlineStr">
        <is>
          <t>Medium Problems</t>
        </is>
      </c>
      <c r="E130" s="8" t="inlineStr">
        <is>
          <t>Check if LL is palindrome or not</t>
        </is>
      </c>
      <c r="F130" s="16" t="inlineStr">
        <is>
          <t>Easy</t>
        </is>
      </c>
      <c r="G130" s="15">
        <f>HYPERLINK("https://leetcode.com/problems/palindrome-linked-list/", "LeetCode Practice")</f>
        <v/>
      </c>
      <c r="H130" s="21">
        <f>HYPERLINK("https://www.youtube.com/results?search_query=takeUforward+Check+if+LL+is+palindrome+or+not", "YouTube Video")</f>
        <v/>
      </c>
    </row>
    <row r="131" ht="20" customHeight="1">
      <c r="A131" s="4" t="n">
        <v>127</v>
      </c>
      <c r="B131" s="4" t="inlineStr">
        <is>
          <t>Todo</t>
        </is>
      </c>
      <c r="C131" s="5" t="inlineStr">
        <is>
          <t>Step 6: LinkedList</t>
        </is>
      </c>
      <c r="D131" s="5" t="inlineStr">
        <is>
          <t>Medium Problems</t>
        </is>
      </c>
      <c r="E131" s="5" t="inlineStr">
        <is>
          <t>Segrregate odd and even nodes in LL</t>
        </is>
      </c>
      <c r="F131" s="17" t="inlineStr">
        <is>
          <t>Medium</t>
        </is>
      </c>
      <c r="G131" s="13">
        <f>HYPERLINK("https://leetcode.com/problems/odd-even-linked-list/", "LeetCode Practice")</f>
        <v/>
      </c>
      <c r="H131" s="20">
        <f>HYPERLINK("https://www.youtube.com/results?search_query=takeUforward+Segrregate+odd+and+even+nodes+in+LL", "YouTube Video")</f>
        <v/>
      </c>
    </row>
    <row r="132" ht="20" customHeight="1">
      <c r="A132" s="7" t="n">
        <v>128</v>
      </c>
      <c r="B132" s="7" t="inlineStr">
        <is>
          <t>Todo</t>
        </is>
      </c>
      <c r="C132" s="8" t="inlineStr">
        <is>
          <t>Step 6: LinkedList</t>
        </is>
      </c>
      <c r="D132" s="8" t="inlineStr">
        <is>
          <t>Medium Problems</t>
        </is>
      </c>
      <c r="E132" s="8" t="inlineStr">
        <is>
          <t>Remove Nth node from the back of the LL</t>
        </is>
      </c>
      <c r="F132" s="14" t="inlineStr">
        <is>
          <t>Medium</t>
        </is>
      </c>
      <c r="G132" s="15">
        <f>HYPERLINK("https://leetcode.com/problems/remove-nth-node-from-end-of-list/", "LeetCode Practice")</f>
        <v/>
      </c>
      <c r="H132" s="21">
        <f>HYPERLINK("https://www.youtube.com/results?search_query=takeUforward+Remove+Nth+node+from+the+back+of+the+LL", "YouTube Video")</f>
        <v/>
      </c>
    </row>
    <row r="133" ht="20" customHeight="1">
      <c r="A133" s="4" t="n">
        <v>129</v>
      </c>
      <c r="B133" s="4" t="inlineStr">
        <is>
          <t>Todo</t>
        </is>
      </c>
      <c r="C133" s="5" t="inlineStr">
        <is>
          <t>Step 6: LinkedList</t>
        </is>
      </c>
      <c r="D133" s="5" t="inlineStr">
        <is>
          <t>Medium Problems</t>
        </is>
      </c>
      <c r="E133" s="5" t="inlineStr">
        <is>
          <t>Delete the middle node of LL</t>
        </is>
      </c>
      <c r="F133" s="17" t="inlineStr">
        <is>
          <t>Medium</t>
        </is>
      </c>
      <c r="G133" s="13">
        <f>HYPERLINK("https://leetcode.com/problems/delete-the-middle-node-of-a-linked-list/", "LeetCode Practice")</f>
        <v/>
      </c>
      <c r="H133" s="20">
        <f>HYPERLINK("https://www.youtube.com/results?search_query=takeUforward+Delete+the+middle+node+of+LL", "YouTube Video")</f>
        <v/>
      </c>
    </row>
    <row r="134" ht="20" customHeight="1">
      <c r="A134" s="7" t="n">
        <v>130</v>
      </c>
      <c r="B134" s="7" t="inlineStr">
        <is>
          <t>Todo</t>
        </is>
      </c>
      <c r="C134" s="8" t="inlineStr">
        <is>
          <t>Step 6: LinkedList</t>
        </is>
      </c>
      <c r="D134" s="8" t="inlineStr">
        <is>
          <t>Medium Problems</t>
        </is>
      </c>
      <c r="E134" s="8" t="inlineStr">
        <is>
          <t>Sort LL</t>
        </is>
      </c>
      <c r="F134" s="14" t="inlineStr">
        <is>
          <t>Medium</t>
        </is>
      </c>
      <c r="G134" s="15">
        <f>HYPERLINK("https://leetcode.com/problems/sort-list/", "LeetCode Practice")</f>
        <v/>
      </c>
      <c r="H134" s="21">
        <f>HYPERLINK("https://www.youtube.com/results?search_query=takeUforward+Sort+LL", "YouTube Video")</f>
        <v/>
      </c>
    </row>
    <row r="135" ht="20" customHeight="1">
      <c r="A135" s="4" t="n">
        <v>131</v>
      </c>
      <c r="B135" s="4" t="inlineStr">
        <is>
          <t>Todo</t>
        </is>
      </c>
      <c r="C135" s="5" t="inlineStr">
        <is>
          <t>Step 6: LinkedList</t>
        </is>
      </c>
      <c r="D135" s="5" t="inlineStr">
        <is>
          <t>Medium Problems</t>
        </is>
      </c>
      <c r="E135" s="5" t="inlineStr">
        <is>
          <t>Sort a LL of 0's 1's and 2's</t>
        </is>
      </c>
      <c r="F135" s="17" t="inlineStr">
        <is>
          <t>Medium</t>
        </is>
      </c>
      <c r="G135" s="13">
        <f>HYPERLINK("https://leetcode.com/problems/sort-list/", "LeetCode Practice")</f>
        <v/>
      </c>
      <c r="H135" s="20">
        <f>HYPERLINK("https://www.youtube.com/results?search_query=takeUforward+Sort+a+LL+of+0%27s+1%27s+and+2%27s", "YouTube Video")</f>
        <v/>
      </c>
    </row>
    <row r="136" ht="20" customHeight="1">
      <c r="A136" s="7" t="n">
        <v>132</v>
      </c>
      <c r="B136" s="7" t="inlineStr">
        <is>
          <t>Todo</t>
        </is>
      </c>
      <c r="C136" s="8" t="inlineStr">
        <is>
          <t>Step 6: LinkedList</t>
        </is>
      </c>
      <c r="D136" s="8" t="inlineStr">
        <is>
          <t>Medium Problems</t>
        </is>
      </c>
      <c r="E136" s="8" t="inlineStr">
        <is>
          <t>Find the intersection point of Y LL</t>
        </is>
      </c>
      <c r="F136" s="16" t="inlineStr">
        <is>
          <t>Easy</t>
        </is>
      </c>
      <c r="G136" s="15">
        <f>HYPERLINK("https://leetcode.com/problems/intersection-of-two-linked-lists/", "LeetCode Practice")</f>
        <v/>
      </c>
      <c r="H136" s="21">
        <f>HYPERLINK("https://www.youtube.com/results?search_query=takeUforward+Find+the+intersection+point+of+Y+LL", "YouTube Video")</f>
        <v/>
      </c>
    </row>
    <row r="137" ht="20" customHeight="1">
      <c r="A137" s="4" t="n">
        <v>133</v>
      </c>
      <c r="B137" s="4" t="inlineStr">
        <is>
          <t>Todo</t>
        </is>
      </c>
      <c r="C137" s="5" t="inlineStr">
        <is>
          <t>Step 6: LinkedList</t>
        </is>
      </c>
      <c r="D137" s="5" t="inlineStr">
        <is>
          <t>Medium Problems</t>
        </is>
      </c>
      <c r="E137" s="5" t="inlineStr">
        <is>
          <t>Add 1 to a number represented by LL</t>
        </is>
      </c>
      <c r="F137" s="17" t="inlineStr">
        <is>
          <t>Medium</t>
        </is>
      </c>
      <c r="G137" s="13">
        <f>HYPERLINK("https://leetcode.com/problems/plus-one-linked-list/", "LeetCode Practice")</f>
        <v/>
      </c>
      <c r="H137" s="20">
        <f>HYPERLINK("https://www.youtube.com/results?search_query=takeUforward+Add+1+to+a+number+represented+by+LL", "YouTube Video")</f>
        <v/>
      </c>
    </row>
    <row r="138" ht="20" customHeight="1">
      <c r="A138" s="7" t="n">
        <v>134</v>
      </c>
      <c r="B138" s="7" t="inlineStr">
        <is>
          <t>Todo</t>
        </is>
      </c>
      <c r="C138" s="8" t="inlineStr">
        <is>
          <t>Step 6: LinkedList</t>
        </is>
      </c>
      <c r="D138" s="8" t="inlineStr">
        <is>
          <t>Medium Problems</t>
        </is>
      </c>
      <c r="E138" s="8" t="inlineStr">
        <is>
          <t>Add 2 numbers in LL</t>
        </is>
      </c>
      <c r="F138" s="14" t="inlineStr">
        <is>
          <t>Medium</t>
        </is>
      </c>
      <c r="G138" s="15">
        <f>HYPERLINK("https://leetcode.com/problems/add-two-numbers/", "LeetCode Practice")</f>
        <v/>
      </c>
      <c r="H138" s="21">
        <f>HYPERLINK("https://www.youtube.com/results?search_query=takeUforward+Add+2+numbers+in+LL", "YouTube Video")</f>
        <v/>
      </c>
    </row>
    <row r="139" ht="20" customHeight="1">
      <c r="A139" s="4" t="n">
        <v>135</v>
      </c>
      <c r="B139" s="4" t="inlineStr">
        <is>
          <t>Todo</t>
        </is>
      </c>
      <c r="C139" s="5" t="inlineStr">
        <is>
          <t>Step 6: LinkedList</t>
        </is>
      </c>
      <c r="D139" s="5" t="inlineStr">
        <is>
          <t>Hard Problems</t>
        </is>
      </c>
      <c r="E139" s="5" t="inlineStr">
        <is>
          <t>Reverse LL in group of given size K</t>
        </is>
      </c>
      <c r="F139" s="18" t="inlineStr">
        <is>
          <t>Hard</t>
        </is>
      </c>
      <c r="G139" s="13">
        <f>HYPERLINK("https://leetcode.com/problems/reverse-nodes-in-k-group/", "LeetCode Practice")</f>
        <v/>
      </c>
      <c r="H139" s="20">
        <f>HYPERLINK("https://www.youtube.com/results?search_query=takeUforward+Reverse+LL+in+group+of+given+size+K", "YouTube Video")</f>
        <v/>
      </c>
    </row>
    <row r="140" ht="20" customHeight="1">
      <c r="A140" s="7" t="n">
        <v>136</v>
      </c>
      <c r="B140" s="7" t="inlineStr">
        <is>
          <t>Todo</t>
        </is>
      </c>
      <c r="C140" s="8" t="inlineStr">
        <is>
          <t>Step 6: LinkedList</t>
        </is>
      </c>
      <c r="D140" s="8" t="inlineStr">
        <is>
          <t>Hard Problems</t>
        </is>
      </c>
      <c r="E140" s="8" t="inlineStr">
        <is>
          <t>Rotate a LL</t>
        </is>
      </c>
      <c r="F140" s="14" t="inlineStr">
        <is>
          <t>Medium</t>
        </is>
      </c>
      <c r="G140" s="15">
        <f>HYPERLINK("https://leetcode.com/problems/rotate-list/", "LeetCode Practice")</f>
        <v/>
      </c>
      <c r="H140" s="21">
        <f>HYPERLINK("https://www.youtube.com/results?search_query=takeUforward+Rotate+a+LL", "YouTube Video")</f>
        <v/>
      </c>
    </row>
    <row r="141" ht="20" customHeight="1">
      <c r="A141" s="4" t="n">
        <v>137</v>
      </c>
      <c r="B141" s="4" t="inlineStr">
        <is>
          <t>Todo</t>
        </is>
      </c>
      <c r="C141" s="5" t="inlineStr">
        <is>
          <t>Step 6: LinkedList</t>
        </is>
      </c>
      <c r="D141" s="5" t="inlineStr">
        <is>
          <t>Hard Problems</t>
        </is>
      </c>
      <c r="E141" s="5" t="inlineStr">
        <is>
          <t>Flattening of a LinkedList</t>
        </is>
      </c>
      <c r="F141" s="17" t="inlineStr">
        <is>
          <t>Medium</t>
        </is>
      </c>
      <c r="G141" s="13">
        <f>HYPERLINK("https://leetcode.com/problems/flatten-a-multilevel-doubly-linked-list/", "LeetCode Practice")</f>
        <v/>
      </c>
      <c r="H141" s="20">
        <f>HYPERLINK("https://www.youtube.com/results?search_query=takeUforward+Flattening+of+a+LinkedList", "YouTube Video")</f>
        <v/>
      </c>
    </row>
    <row r="142" ht="20" customHeight="1">
      <c r="A142" s="7" t="n">
        <v>138</v>
      </c>
      <c r="B142" s="7" t="inlineStr">
        <is>
          <t>Todo</t>
        </is>
      </c>
      <c r="C142" s="8" t="inlineStr">
        <is>
          <t>Step 6: LinkedList</t>
        </is>
      </c>
      <c r="D142" s="8" t="inlineStr">
        <is>
          <t>Hard Problems</t>
        </is>
      </c>
      <c r="E142" s="8" t="inlineStr">
        <is>
          <t>Clone a Linked List with random and next pointer</t>
        </is>
      </c>
      <c r="F142" s="14" t="inlineStr">
        <is>
          <t>Medium</t>
        </is>
      </c>
      <c r="G142" s="15">
        <f>HYPERLINK("https://leetcode.com/problems/copy-list-with-random-pointer/", "LeetCode Practice")</f>
        <v/>
      </c>
      <c r="H142" s="21">
        <f>HYPERLINK("https://www.youtube.com/results?search_query=takeUforward+Clone+a+Linked+List+with+random+and+next+pointer", "YouTube Video")</f>
        <v/>
      </c>
    </row>
    <row r="143" ht="20" customHeight="1">
      <c r="A143" s="4" t="n">
        <v>139</v>
      </c>
      <c r="B143" s="4" t="inlineStr">
        <is>
          <t>Todo</t>
        </is>
      </c>
      <c r="C143" s="5" t="inlineStr">
        <is>
          <t>Step 7: Recursion</t>
        </is>
      </c>
      <c r="D143" s="5" t="inlineStr">
        <is>
          <t>Subsequences Pattern</t>
        </is>
      </c>
      <c r="E143" s="5" t="inlineStr">
        <is>
          <t>Generate all binary strings without consecutive 1s</t>
        </is>
      </c>
      <c r="F143" s="17" t="inlineStr">
        <is>
          <t>Medium</t>
        </is>
      </c>
      <c r="G143" s="13">
        <f>HYPERLINK("https://leetcode.com/problems/non-negative-integers-without-consecutive-ones/", "LeetCode Practice")</f>
        <v/>
      </c>
      <c r="H143" s="20">
        <f>HYPERLINK("https://www.youtube.com/results?search_query=takeUforward+Generate+all+binary+strings+without+consecutive+1s", "YouTube Video")</f>
        <v/>
      </c>
    </row>
    <row r="144" ht="20" customHeight="1">
      <c r="A144" s="7" t="n">
        <v>140</v>
      </c>
      <c r="B144" s="7" t="inlineStr">
        <is>
          <t>Todo</t>
        </is>
      </c>
      <c r="C144" s="8" t="inlineStr">
        <is>
          <t>Step 7: Recursion</t>
        </is>
      </c>
      <c r="D144" s="8" t="inlineStr">
        <is>
          <t>Subsequences Pattern</t>
        </is>
      </c>
      <c r="E144" s="8" t="inlineStr">
        <is>
          <t>Generate Parentheses</t>
        </is>
      </c>
      <c r="F144" s="14" t="inlineStr">
        <is>
          <t>Medium</t>
        </is>
      </c>
      <c r="G144" s="15">
        <f>HYPERLINK("https://leetcode.com/problems/generate-parentheses/", "LeetCode Practice")</f>
        <v/>
      </c>
      <c r="H144" s="21">
        <f>HYPERLINK("https://www.youtube.com/results?search_query=takeUforward+Generate+Parentheses", "YouTube Video")</f>
        <v/>
      </c>
    </row>
    <row r="145" ht="20" customHeight="1">
      <c r="A145" s="4" t="n">
        <v>141</v>
      </c>
      <c r="B145" s="4" t="inlineStr">
        <is>
          <t>Todo</t>
        </is>
      </c>
      <c r="C145" s="5" t="inlineStr">
        <is>
          <t>Step 7: Recursion</t>
        </is>
      </c>
      <c r="D145" s="5" t="inlineStr">
        <is>
          <t>Subsequences Pattern</t>
        </is>
      </c>
      <c r="E145" s="5" t="inlineStr">
        <is>
          <t>Print all Subsequences / Power Set</t>
        </is>
      </c>
      <c r="F145" s="17" t="inlineStr">
        <is>
          <t>Medium</t>
        </is>
      </c>
      <c r="G145" s="13">
        <f>HYPERLINK("https://leetcode.com/problems/subsets/", "LeetCode Practice")</f>
        <v/>
      </c>
      <c r="H145" s="20">
        <f>HYPERLINK("https://www.youtube.com/results?search_query=takeUforward+Print+all+Subsequences+++Power+Set", "YouTube Video")</f>
        <v/>
      </c>
    </row>
    <row r="146" ht="20" customHeight="1">
      <c r="A146" s="7" t="n">
        <v>142</v>
      </c>
      <c r="B146" s="7" t="inlineStr">
        <is>
          <t>Todo</t>
        </is>
      </c>
      <c r="C146" s="8" t="inlineStr">
        <is>
          <t>Step 7: Recursion</t>
        </is>
      </c>
      <c r="D146" s="8" t="inlineStr">
        <is>
          <t>Subsequences Pattern</t>
        </is>
      </c>
      <c r="E146" s="8" t="inlineStr">
        <is>
          <t>Learn All Patterns of Subsequences (Sum = K)</t>
        </is>
      </c>
      <c r="F146" s="14" t="inlineStr">
        <is>
          <t>Medium</t>
        </is>
      </c>
      <c r="G146" s="15">
        <f>HYPERLINK("https://leetcode.com/problems/combination-sum/", "LeetCode Practice")</f>
        <v/>
      </c>
      <c r="H146" s="21">
        <f>HYPERLINK("https://www.youtube.com/results?search_query=takeUforward+Learn+All+Patterns+of+Subsequences+%28Sum+%3D+K%29", "YouTube Video")</f>
        <v/>
      </c>
    </row>
    <row r="147" ht="20" customHeight="1">
      <c r="A147" s="4" t="n">
        <v>143</v>
      </c>
      <c r="B147" s="4" t="inlineStr">
        <is>
          <t>Todo</t>
        </is>
      </c>
      <c r="C147" s="5" t="inlineStr">
        <is>
          <t>Step 7: Recursion</t>
        </is>
      </c>
      <c r="D147" s="5" t="inlineStr">
        <is>
          <t>Subsequences Pattern</t>
        </is>
      </c>
      <c r="E147" s="5" t="inlineStr">
        <is>
          <t>Count all subsequences with sum K</t>
        </is>
      </c>
      <c r="F147" s="17" t="inlineStr">
        <is>
          <t>Medium</t>
        </is>
      </c>
      <c r="G147" s="13">
        <f>HYPERLINK("https://leetcode.com/problems/target-sum/", "LeetCode Practice")</f>
        <v/>
      </c>
      <c r="H147" s="20">
        <f>HYPERLINK("https://www.youtube.com/results?search_query=takeUforward+Count+all+subsequences+with+sum+K", "YouTube Video")</f>
        <v/>
      </c>
    </row>
    <row r="148" ht="20" customHeight="1">
      <c r="A148" s="7" t="n">
        <v>144</v>
      </c>
      <c r="B148" s="7" t="inlineStr">
        <is>
          <t>Todo</t>
        </is>
      </c>
      <c r="C148" s="8" t="inlineStr">
        <is>
          <t>Step 7: Recursion</t>
        </is>
      </c>
      <c r="D148" s="8" t="inlineStr">
        <is>
          <t>Subsequences Pattern</t>
        </is>
      </c>
      <c r="E148" s="8" t="inlineStr">
        <is>
          <t>Combination Sum</t>
        </is>
      </c>
      <c r="F148" s="14" t="inlineStr">
        <is>
          <t>Medium</t>
        </is>
      </c>
      <c r="G148" s="15">
        <f>HYPERLINK("https://leetcode.com/problems/combination-sum/", "LeetCode Practice")</f>
        <v/>
      </c>
      <c r="H148" s="21">
        <f>HYPERLINK("https://www.youtube.com/results?search_query=takeUforward+Combination+Sum", "YouTube Video")</f>
        <v/>
      </c>
    </row>
    <row r="149" ht="20" customHeight="1">
      <c r="A149" s="4" t="n">
        <v>145</v>
      </c>
      <c r="B149" s="4" t="inlineStr">
        <is>
          <t>Todo</t>
        </is>
      </c>
      <c r="C149" s="5" t="inlineStr">
        <is>
          <t>Step 7: Recursion</t>
        </is>
      </c>
      <c r="D149" s="5" t="inlineStr">
        <is>
          <t>Subsequences Pattern</t>
        </is>
      </c>
      <c r="E149" s="5" t="inlineStr">
        <is>
          <t>Combination Sum II</t>
        </is>
      </c>
      <c r="F149" s="17" t="inlineStr">
        <is>
          <t>Medium</t>
        </is>
      </c>
      <c r="G149" s="13">
        <f>HYPERLINK("https://leetcode.com/problems/combination-sum-ii/", "LeetCode Practice")</f>
        <v/>
      </c>
      <c r="H149" s="20">
        <f>HYPERLINK("https://www.youtube.com/results?search_query=takeUforward+Combination+Sum+II", "YouTube Video")</f>
        <v/>
      </c>
    </row>
    <row r="150" ht="20" customHeight="1">
      <c r="A150" s="7" t="n">
        <v>146</v>
      </c>
      <c r="B150" s="7" t="inlineStr">
        <is>
          <t>Todo</t>
        </is>
      </c>
      <c r="C150" s="8" t="inlineStr">
        <is>
          <t>Step 7: Recursion</t>
        </is>
      </c>
      <c r="D150" s="8" t="inlineStr">
        <is>
          <t>Subsequences Pattern</t>
        </is>
      </c>
      <c r="E150" s="8" t="inlineStr">
        <is>
          <t>Subset Sum I</t>
        </is>
      </c>
      <c r="F150" s="14" t="inlineStr">
        <is>
          <t>Medium</t>
        </is>
      </c>
      <c r="G150" s="15">
        <f>HYPERLINK("https://leetcode.com/problems/subsets/", "LeetCode Practice")</f>
        <v/>
      </c>
      <c r="H150" s="21">
        <f>HYPERLINK("https://www.youtube.com/results?search_query=takeUforward+Subset+Sum+I", "YouTube Video")</f>
        <v/>
      </c>
    </row>
    <row r="151" ht="20" customHeight="1">
      <c r="A151" s="4" t="n">
        <v>147</v>
      </c>
      <c r="B151" s="4" t="inlineStr">
        <is>
          <t>Todo</t>
        </is>
      </c>
      <c r="C151" s="5" t="inlineStr">
        <is>
          <t>Step 7: Recursion</t>
        </is>
      </c>
      <c r="D151" s="5" t="inlineStr">
        <is>
          <t>Subsequences Pattern</t>
        </is>
      </c>
      <c r="E151" s="5" t="inlineStr">
        <is>
          <t>Subset Sum II</t>
        </is>
      </c>
      <c r="F151" s="17" t="inlineStr">
        <is>
          <t>Medium</t>
        </is>
      </c>
      <c r="G151" s="13">
        <f>HYPERLINK("https://leetcode.com/problems/subsets-ii/", "LeetCode Practice")</f>
        <v/>
      </c>
      <c r="H151" s="20">
        <f>HYPERLINK("https://www.youtube.com/results?search_query=takeUforward+Subset+Sum+II", "YouTube Video")</f>
        <v/>
      </c>
    </row>
    <row r="152" ht="20" customHeight="1">
      <c r="A152" s="7" t="n">
        <v>148</v>
      </c>
      <c r="B152" s="7" t="inlineStr">
        <is>
          <t>Todo</t>
        </is>
      </c>
      <c r="C152" s="8" t="inlineStr">
        <is>
          <t>Step 7: Recursion</t>
        </is>
      </c>
      <c r="D152" s="8" t="inlineStr">
        <is>
          <t>Subsequences Pattern</t>
        </is>
      </c>
      <c r="E152" s="8" t="inlineStr">
        <is>
          <t>Combination Sum III</t>
        </is>
      </c>
      <c r="F152" s="14" t="inlineStr">
        <is>
          <t>Medium</t>
        </is>
      </c>
      <c r="G152" s="15">
        <f>HYPERLINK("https://leetcode.com/problems/combination-sum-iii/", "LeetCode Practice")</f>
        <v/>
      </c>
      <c r="H152" s="21">
        <f>HYPERLINK("https://www.youtube.com/results?search_query=takeUforward+Combination+Sum+III", "YouTube Video")</f>
        <v/>
      </c>
    </row>
    <row r="153" ht="20" customHeight="1">
      <c r="A153" s="4" t="n">
        <v>149</v>
      </c>
      <c r="B153" s="4" t="inlineStr">
        <is>
          <t>Todo</t>
        </is>
      </c>
      <c r="C153" s="5" t="inlineStr">
        <is>
          <t>Step 7: Recursion</t>
        </is>
      </c>
      <c r="D153" s="5" t="inlineStr">
        <is>
          <t>Subsequences Pattern</t>
        </is>
      </c>
      <c r="E153" s="5" t="inlineStr">
        <is>
          <t>Letter Combinations of a Phone Number</t>
        </is>
      </c>
      <c r="F153" s="17" t="inlineStr">
        <is>
          <t>Medium</t>
        </is>
      </c>
      <c r="G153" s="13">
        <f>HYPERLINK("https://leetcode.com/problems/letter-combinations-of-a-phone-number/", "LeetCode Practice")</f>
        <v/>
      </c>
      <c r="H153" s="20">
        <f>HYPERLINK("https://www.youtube.com/results?search_query=takeUforward+Letter+Combinations+of+a+Phone+Number", "YouTube Video")</f>
        <v/>
      </c>
    </row>
    <row r="154" ht="20" customHeight="1">
      <c r="A154" s="7" t="n">
        <v>150</v>
      </c>
      <c r="B154" s="7" t="inlineStr">
        <is>
          <t>Todo</t>
        </is>
      </c>
      <c r="C154" s="8" t="inlineStr">
        <is>
          <t>Step 7: Recursion</t>
        </is>
      </c>
      <c r="D154" s="8" t="inlineStr">
        <is>
          <t>Subsequences Pattern</t>
        </is>
      </c>
      <c r="E154" s="8" t="inlineStr">
        <is>
          <t>Palindrome Partitioning</t>
        </is>
      </c>
      <c r="F154" s="14" t="inlineStr">
        <is>
          <t>Medium</t>
        </is>
      </c>
      <c r="G154" s="15">
        <f>HYPERLINK("https://leetcode.com/problems/palindrome-partitioning/", "LeetCode Practice")</f>
        <v/>
      </c>
      <c r="H154" s="21">
        <f>HYPERLINK("https://www.youtube.com/results?search_query=takeUforward+Palindrome+Partitioning", "YouTube Video")</f>
        <v/>
      </c>
    </row>
    <row r="155" ht="20" customHeight="1">
      <c r="A155" s="4" t="n">
        <v>151</v>
      </c>
      <c r="B155" s="4" t="inlineStr">
        <is>
          <t>Todo</t>
        </is>
      </c>
      <c r="C155" s="5" t="inlineStr">
        <is>
          <t>Step 7: Recursion</t>
        </is>
      </c>
      <c r="D155" s="5" t="inlineStr">
        <is>
          <t>Hard</t>
        </is>
      </c>
      <c r="E155" s="5" t="inlineStr">
        <is>
          <t>Word Search</t>
        </is>
      </c>
      <c r="F155" s="17" t="inlineStr">
        <is>
          <t>Medium</t>
        </is>
      </c>
      <c r="G155" s="13">
        <f>HYPERLINK("https://leetcode.com/problems/word-search/", "LeetCode Practice")</f>
        <v/>
      </c>
      <c r="H155" s="20">
        <f>HYPERLINK("https://www.youtube.com/results?search_query=takeUforward+Word+Search", "YouTube Video")</f>
        <v/>
      </c>
    </row>
    <row r="156" ht="20" customHeight="1">
      <c r="A156" s="7" t="n">
        <v>152</v>
      </c>
      <c r="B156" s="7" t="inlineStr">
        <is>
          <t>Todo</t>
        </is>
      </c>
      <c r="C156" s="8" t="inlineStr">
        <is>
          <t>Step 7: Recursion</t>
        </is>
      </c>
      <c r="D156" s="8" t="inlineStr">
        <is>
          <t>Hard</t>
        </is>
      </c>
      <c r="E156" s="8" t="inlineStr">
        <is>
          <t>N Queens</t>
        </is>
      </c>
      <c r="F156" s="19" t="inlineStr">
        <is>
          <t>Hard</t>
        </is>
      </c>
      <c r="G156" s="15">
        <f>HYPERLINK("https://leetcode.com/problems/n-queens/", "LeetCode Practice")</f>
        <v/>
      </c>
      <c r="H156" s="21">
        <f>HYPERLINK("https://www.youtube.com/results?search_query=takeUforward+N+Queens", "YouTube Video")</f>
        <v/>
      </c>
    </row>
    <row r="157" ht="20" customHeight="1">
      <c r="A157" s="4" t="n">
        <v>153</v>
      </c>
      <c r="B157" s="4" t="inlineStr">
        <is>
          <t>Todo</t>
        </is>
      </c>
      <c r="C157" s="5" t="inlineStr">
        <is>
          <t>Step 7: Recursion</t>
        </is>
      </c>
      <c r="D157" s="5" t="inlineStr">
        <is>
          <t>Hard</t>
        </is>
      </c>
      <c r="E157" s="5" t="inlineStr">
        <is>
          <t>Rat in a Maze</t>
        </is>
      </c>
      <c r="F157" s="17" t="inlineStr">
        <is>
          <t>Medium</t>
        </is>
      </c>
      <c r="G157" s="13">
        <f>HYPERLINK("https://leetcode.com/problems/unique-paths-iii/", "LeetCode Practice")</f>
        <v/>
      </c>
      <c r="H157" s="20">
        <f>HYPERLINK("https://www.youtube.com/results?search_query=takeUforward+Rat+in+a+Maze", "YouTube Video")</f>
        <v/>
      </c>
    </row>
    <row r="158" ht="20" customHeight="1">
      <c r="A158" s="7" t="n">
        <v>154</v>
      </c>
      <c r="B158" s="7" t="inlineStr">
        <is>
          <t>Todo</t>
        </is>
      </c>
      <c r="C158" s="8" t="inlineStr">
        <is>
          <t>Step 7: Recursion</t>
        </is>
      </c>
      <c r="D158" s="8" t="inlineStr">
        <is>
          <t>Hard</t>
        </is>
      </c>
      <c r="E158" s="8" t="inlineStr">
        <is>
          <t>Word Break</t>
        </is>
      </c>
      <c r="F158" s="14" t="inlineStr">
        <is>
          <t>Medium</t>
        </is>
      </c>
      <c r="G158" s="15">
        <f>HYPERLINK("https://leetcode.com/problems/word-break/", "LeetCode Practice")</f>
        <v/>
      </c>
      <c r="H158" s="21">
        <f>HYPERLINK("https://www.youtube.com/results?search_query=takeUforward+Word+Break", "YouTube Video")</f>
        <v/>
      </c>
    </row>
    <row r="159" ht="20" customHeight="1">
      <c r="A159" s="4" t="n">
        <v>155</v>
      </c>
      <c r="B159" s="4" t="inlineStr">
        <is>
          <t>Todo</t>
        </is>
      </c>
      <c r="C159" s="5" t="inlineStr">
        <is>
          <t>Step 7: Recursion</t>
        </is>
      </c>
      <c r="D159" s="5" t="inlineStr">
        <is>
          <t>Hard</t>
        </is>
      </c>
      <c r="E159" s="5" t="inlineStr">
        <is>
          <t>M Coloring Problem</t>
        </is>
      </c>
      <c r="F159" s="17" t="inlineStr">
        <is>
          <t>Medium</t>
        </is>
      </c>
      <c r="G159" s="13">
        <f>HYPERLINK("https://leetcode.com/problems/flower-planting-with-no-adjacent/", "LeetCode Practice")</f>
        <v/>
      </c>
      <c r="H159" s="20">
        <f>HYPERLINK("https://www.youtube.com/results?search_query=takeUforward+M+Coloring+Problem", "YouTube Video")</f>
        <v/>
      </c>
    </row>
    <row r="160" ht="20" customHeight="1">
      <c r="A160" s="7" t="n">
        <v>156</v>
      </c>
      <c r="B160" s="7" t="inlineStr">
        <is>
          <t>Todo</t>
        </is>
      </c>
      <c r="C160" s="8" t="inlineStr">
        <is>
          <t>Step 7: Recursion</t>
        </is>
      </c>
      <c r="D160" s="8" t="inlineStr">
        <is>
          <t>Hard</t>
        </is>
      </c>
      <c r="E160" s="8" t="inlineStr">
        <is>
          <t>Sudoku Solver</t>
        </is>
      </c>
      <c r="F160" s="19" t="inlineStr">
        <is>
          <t>Hard</t>
        </is>
      </c>
      <c r="G160" s="15">
        <f>HYPERLINK("https://leetcode.com/problems/sudoku-solver/", "LeetCode Practice")</f>
        <v/>
      </c>
      <c r="H160" s="21">
        <f>HYPERLINK("https://www.youtube.com/results?search_query=takeUforward+Sudoku+Solver", "YouTube Video")</f>
        <v/>
      </c>
    </row>
    <row r="161" ht="20" customHeight="1">
      <c r="A161" s="4" t="n">
        <v>157</v>
      </c>
      <c r="B161" s="4" t="inlineStr">
        <is>
          <t>Todo</t>
        </is>
      </c>
      <c r="C161" s="5" t="inlineStr">
        <is>
          <t>Step 7: Recursion</t>
        </is>
      </c>
      <c r="D161" s="5" t="inlineStr">
        <is>
          <t>Hard</t>
        </is>
      </c>
      <c r="E161" s="5" t="inlineStr">
        <is>
          <t>Expression Add Operators</t>
        </is>
      </c>
      <c r="F161" s="18" t="inlineStr">
        <is>
          <t>Hard</t>
        </is>
      </c>
      <c r="G161" s="13">
        <f>HYPERLINK("https://leetcode.com/problems/expression-add-operators/", "LeetCode Practice")</f>
        <v/>
      </c>
      <c r="H161" s="20">
        <f>HYPERLINK("https://www.youtube.com/results?search_query=takeUforward+Expression+Add+Operators", "YouTube Video")</f>
        <v/>
      </c>
    </row>
    <row r="162" ht="20" customHeight="1">
      <c r="A162" s="7" t="n">
        <v>158</v>
      </c>
      <c r="B162" s="7" t="inlineStr">
        <is>
          <t>Todo</t>
        </is>
      </c>
      <c r="C162" s="8" t="inlineStr">
        <is>
          <t>Step 8: Bit Manipulation</t>
        </is>
      </c>
      <c r="D162" s="8" t="inlineStr">
        <is>
          <t>Learn Bit Manipulation</t>
        </is>
      </c>
      <c r="E162" s="8" t="inlineStr">
        <is>
          <t>Introduction to Bit Manipulation</t>
        </is>
      </c>
      <c r="F162" s="16" t="inlineStr">
        <is>
          <t>Easy</t>
        </is>
      </c>
      <c r="G162" s="15">
        <f>HYPERLINK("https://leetcode.com/problems/number-of-1-bits/", "LeetCode Practice")</f>
        <v/>
      </c>
      <c r="H162" s="21">
        <f>HYPERLINK("https://www.youtube.com/results?search_query=takeUforward+Introduction+to+Bit+Manipulation", "YouTube Video")</f>
        <v/>
      </c>
    </row>
    <row r="163" ht="20" customHeight="1">
      <c r="A163" s="4" t="n">
        <v>159</v>
      </c>
      <c r="B163" s="4" t="inlineStr">
        <is>
          <t>Todo</t>
        </is>
      </c>
      <c r="C163" s="5" t="inlineStr">
        <is>
          <t>Step 8: Bit Manipulation</t>
        </is>
      </c>
      <c r="D163" s="5" t="inlineStr">
        <is>
          <t>Learn Bit Manipulation</t>
        </is>
      </c>
      <c r="E163" s="5" t="inlineStr">
        <is>
          <t>Check if the i-th bit is set or not</t>
        </is>
      </c>
      <c r="F163" s="12" t="inlineStr">
        <is>
          <t>Easy</t>
        </is>
      </c>
      <c r="G163" s="13">
        <f>HYPERLINK("https://leetcode.com/problems/number-of-1-bits/", "LeetCode Practice")</f>
        <v/>
      </c>
      <c r="H163" s="20">
        <f>HYPERLINK("https://www.youtube.com/results?search_query=takeUforward+Check+if+the+i-th+bit+is+set+or+not", "YouTube Video")</f>
        <v/>
      </c>
    </row>
    <row r="164" ht="20" customHeight="1">
      <c r="A164" s="7" t="n">
        <v>160</v>
      </c>
      <c r="B164" s="7" t="inlineStr">
        <is>
          <t>Todo</t>
        </is>
      </c>
      <c r="C164" s="8" t="inlineStr">
        <is>
          <t>Step 8: Bit Manipulation</t>
        </is>
      </c>
      <c r="D164" s="8" t="inlineStr">
        <is>
          <t>Learn Bit Manipulation</t>
        </is>
      </c>
      <c r="E164" s="8" t="inlineStr">
        <is>
          <t>Check if a number is odd or not</t>
        </is>
      </c>
      <c r="F164" s="16" t="inlineStr">
        <is>
          <t>Easy</t>
        </is>
      </c>
      <c r="G164" s="15">
        <f>HYPERLINK("https://leetcode.com/problems/power-of-two/", "LeetCode Practice")</f>
        <v/>
      </c>
      <c r="H164" s="21">
        <f>HYPERLINK("https://www.youtube.com/results?search_query=takeUforward+Check+if+a+number+is+odd+or+not", "YouTube Video")</f>
        <v/>
      </c>
    </row>
    <row r="165" ht="20" customHeight="1">
      <c r="A165" s="4" t="n">
        <v>161</v>
      </c>
      <c r="B165" s="4" t="inlineStr">
        <is>
          <t>Todo</t>
        </is>
      </c>
      <c r="C165" s="5" t="inlineStr">
        <is>
          <t>Step 8: Bit Manipulation</t>
        </is>
      </c>
      <c r="D165" s="5" t="inlineStr">
        <is>
          <t>Learn Bit Manipulation</t>
        </is>
      </c>
      <c r="E165" s="5" t="inlineStr">
        <is>
          <t>Check if a number is power of 2 or not</t>
        </is>
      </c>
      <c r="F165" s="12" t="inlineStr">
        <is>
          <t>Easy</t>
        </is>
      </c>
      <c r="G165" s="13">
        <f>HYPERLINK("https://leetcode.com/problems/power-of-two/", "LeetCode Practice")</f>
        <v/>
      </c>
      <c r="H165" s="20">
        <f>HYPERLINK("https://www.youtube.com/results?search_query=takeUforward+Check+if+a+number+is+power+of+2+or+not", "YouTube Video")</f>
        <v/>
      </c>
    </row>
    <row r="166" ht="20" customHeight="1">
      <c r="A166" s="7" t="n">
        <v>162</v>
      </c>
      <c r="B166" s="7" t="inlineStr">
        <is>
          <t>Todo</t>
        </is>
      </c>
      <c r="C166" s="8" t="inlineStr">
        <is>
          <t>Step 8: Bit Manipulation</t>
        </is>
      </c>
      <c r="D166" s="8" t="inlineStr">
        <is>
          <t>Learn Bit Manipulation</t>
        </is>
      </c>
      <c r="E166" s="8" t="inlineStr">
        <is>
          <t>Count the number of set bits</t>
        </is>
      </c>
      <c r="F166" s="16" t="inlineStr">
        <is>
          <t>Easy</t>
        </is>
      </c>
      <c r="G166" s="15">
        <f>HYPERLINK("https://leetcode.com/problems/counting-bits/", "LeetCode Practice")</f>
        <v/>
      </c>
      <c r="H166" s="21">
        <f>HYPERLINK("https://www.youtube.com/results?search_query=takeUforward+Count+the+number+of+set+bits", "YouTube Video")</f>
        <v/>
      </c>
    </row>
    <row r="167" ht="20" customHeight="1">
      <c r="A167" s="4" t="n">
        <v>163</v>
      </c>
      <c r="B167" s="4" t="inlineStr">
        <is>
          <t>Todo</t>
        </is>
      </c>
      <c r="C167" s="5" t="inlineStr">
        <is>
          <t>Step 8: Bit Manipulation</t>
        </is>
      </c>
      <c r="D167" s="5" t="inlineStr">
        <is>
          <t>Learn Bit Manipulation</t>
        </is>
      </c>
      <c r="E167" s="5" t="inlineStr">
        <is>
          <t>Set/Unset the rightmost unset bit</t>
        </is>
      </c>
      <c r="F167" s="12" t="inlineStr">
        <is>
          <t>Easy</t>
        </is>
      </c>
      <c r="G167" s="13">
        <f>HYPERLINK("https://leetcode.com/problems/number-of-1-bits/", "LeetCode Practice")</f>
        <v/>
      </c>
      <c r="H167" s="20">
        <f>HYPERLINK("https://www.youtube.com/results?search_query=takeUforward+Set+Unset+the+rightmost+unset+bit", "YouTube Video")</f>
        <v/>
      </c>
    </row>
    <row r="168" ht="20" customHeight="1">
      <c r="A168" s="7" t="n">
        <v>164</v>
      </c>
      <c r="B168" s="7" t="inlineStr">
        <is>
          <t>Todo</t>
        </is>
      </c>
      <c r="C168" s="8" t="inlineStr">
        <is>
          <t>Step 8: Bit Manipulation</t>
        </is>
      </c>
      <c r="D168" s="8" t="inlineStr">
        <is>
          <t>Learn Bit Manipulation</t>
        </is>
      </c>
      <c r="E168" s="8" t="inlineStr">
        <is>
          <t>Swap two numbers without third variable</t>
        </is>
      </c>
      <c r="F168" s="16" t="inlineStr">
        <is>
          <t>Easy</t>
        </is>
      </c>
      <c r="G168" s="15">
        <f>HYPERLINK("https://leetcode.com/problems/single-number/", "LeetCode Practice")</f>
        <v/>
      </c>
      <c r="H168" s="21">
        <f>HYPERLINK("https://www.youtube.com/results?search_query=takeUforward+Swap+two+numbers+without+third+variable", "YouTube Video")</f>
        <v/>
      </c>
    </row>
    <row r="169" ht="20" customHeight="1">
      <c r="A169" s="4" t="n">
        <v>165</v>
      </c>
      <c r="B169" s="4" t="inlineStr">
        <is>
          <t>Todo</t>
        </is>
      </c>
      <c r="C169" s="5" t="inlineStr">
        <is>
          <t>Step 8: Bit Manipulation</t>
        </is>
      </c>
      <c r="D169" s="5" t="inlineStr">
        <is>
          <t>Learn Bit Manipulation</t>
        </is>
      </c>
      <c r="E169" s="5" t="inlineStr">
        <is>
          <t>Divide two integers without multiplication or division</t>
        </is>
      </c>
      <c r="F169" s="17" t="inlineStr">
        <is>
          <t>Medium</t>
        </is>
      </c>
      <c r="G169" s="13">
        <f>HYPERLINK("https://leetcode.com/problems/divide-two-integers/", "LeetCode Practice")</f>
        <v/>
      </c>
      <c r="H169" s="20">
        <f>HYPERLINK("https://www.youtube.com/results?search_query=takeUforward+Divide+two+integers+without+multiplication+or+division", "YouTube Video")</f>
        <v/>
      </c>
    </row>
    <row r="170" ht="20" customHeight="1">
      <c r="A170" s="7" t="n">
        <v>166</v>
      </c>
      <c r="B170" s="7" t="inlineStr">
        <is>
          <t>Todo</t>
        </is>
      </c>
      <c r="C170" s="8" t="inlineStr">
        <is>
          <t>Step 8: Bit Manipulation</t>
        </is>
      </c>
      <c r="D170" s="8" t="inlineStr">
        <is>
          <t>Interview Problems</t>
        </is>
      </c>
      <c r="E170" s="8" t="inlineStr">
        <is>
          <t>Count number of bits to be flipped to convert A to B</t>
        </is>
      </c>
      <c r="F170" s="16" t="inlineStr">
        <is>
          <t>Easy</t>
        </is>
      </c>
      <c r="G170" s="15">
        <f>HYPERLINK("https://leetcode.com/problems/minimum-bit-flips-to-convert-number/", "LeetCode Practice")</f>
        <v/>
      </c>
      <c r="H170" s="21">
        <f>HYPERLINK("https://www.youtube.com/results?search_query=takeUforward+Count+number+of+bits+to+be+flipped+to+convert+A+to+B", "YouTube Video")</f>
        <v/>
      </c>
    </row>
    <row r="171" ht="20" customHeight="1">
      <c r="A171" s="4" t="n">
        <v>167</v>
      </c>
      <c r="B171" s="4" t="inlineStr">
        <is>
          <t>Todo</t>
        </is>
      </c>
      <c r="C171" s="5" t="inlineStr">
        <is>
          <t>Step 8: Bit Manipulation</t>
        </is>
      </c>
      <c r="D171" s="5" t="inlineStr">
        <is>
          <t>Interview Problems</t>
        </is>
      </c>
      <c r="E171" s="5" t="inlineStr">
        <is>
          <t>Find the number that appears odd number of times</t>
        </is>
      </c>
      <c r="F171" s="12" t="inlineStr">
        <is>
          <t>Easy</t>
        </is>
      </c>
      <c r="G171" s="13">
        <f>HYPERLINK("https://leetcode.com/problems/single-number/", "LeetCode Practice")</f>
        <v/>
      </c>
      <c r="H171" s="20">
        <f>HYPERLINK("https://www.youtube.com/results?search_query=takeUforward+Find+the+number+that+appears+odd+number+of+times", "YouTube Video")</f>
        <v/>
      </c>
    </row>
    <row r="172" ht="20" customHeight="1">
      <c r="A172" s="7" t="n">
        <v>168</v>
      </c>
      <c r="B172" s="7" t="inlineStr">
        <is>
          <t>Todo</t>
        </is>
      </c>
      <c r="C172" s="8" t="inlineStr">
        <is>
          <t>Step 8: Bit Manipulation</t>
        </is>
      </c>
      <c r="D172" s="8" t="inlineStr">
        <is>
          <t>Interview Problems</t>
        </is>
      </c>
      <c r="E172" s="8" t="inlineStr">
        <is>
          <t>Power Set using Bit Manipulation</t>
        </is>
      </c>
      <c r="F172" s="14" t="inlineStr">
        <is>
          <t>Medium</t>
        </is>
      </c>
      <c r="G172" s="15">
        <f>HYPERLINK("https://leetcode.com/problems/subsets/", "LeetCode Practice")</f>
        <v/>
      </c>
      <c r="H172" s="21">
        <f>HYPERLINK("https://www.youtube.com/results?search_query=takeUforward+Power+Set+using+Bit+Manipulation", "YouTube Video")</f>
        <v/>
      </c>
    </row>
    <row r="173" ht="20" customHeight="1">
      <c r="A173" s="4" t="n">
        <v>169</v>
      </c>
      <c r="B173" s="4" t="inlineStr">
        <is>
          <t>Todo</t>
        </is>
      </c>
      <c r="C173" s="5" t="inlineStr">
        <is>
          <t>Step 8: Bit Manipulation</t>
        </is>
      </c>
      <c r="D173" s="5" t="inlineStr">
        <is>
          <t>Interview Problems</t>
        </is>
      </c>
      <c r="E173" s="5" t="inlineStr">
        <is>
          <t>Find XOR of numbers from L to R</t>
        </is>
      </c>
      <c r="F173" s="17" t="inlineStr">
        <is>
          <t>Medium</t>
        </is>
      </c>
      <c r="G173" s="13">
        <f>HYPERLINK("https://leetcode.com/problems/xor-queries-of-a-subarray/", "LeetCode Practice")</f>
        <v/>
      </c>
      <c r="H173" s="20">
        <f>HYPERLINK("https://www.youtube.com/results?search_query=takeUforward+Find+XOR+of+numbers+from+L+to+R", "YouTube Video")</f>
        <v/>
      </c>
    </row>
    <row r="174" ht="20" customHeight="1">
      <c r="A174" s="7" t="n">
        <v>170</v>
      </c>
      <c r="B174" s="7" t="inlineStr">
        <is>
          <t>Todo</t>
        </is>
      </c>
      <c r="C174" s="8" t="inlineStr">
        <is>
          <t>Step 8: Bit Manipulation</t>
        </is>
      </c>
      <c r="D174" s="8" t="inlineStr">
        <is>
          <t>Interview Problems</t>
        </is>
      </c>
      <c r="E174" s="8" t="inlineStr">
        <is>
          <t>Find the two numbers appearing odd number of times</t>
        </is>
      </c>
      <c r="F174" s="14" t="inlineStr">
        <is>
          <t>Medium</t>
        </is>
      </c>
      <c r="G174" s="15">
        <f>HYPERLINK("https://leetcode.com/problems/single-number-iii/", "LeetCode Practice")</f>
        <v/>
      </c>
      <c r="H174" s="21">
        <f>HYPERLINK("https://www.youtube.com/results?search_query=takeUforward+Find+the+two+numbers+appearing+odd+number+of+times", "YouTube Video")</f>
        <v/>
      </c>
    </row>
    <row r="175" ht="20" customHeight="1">
      <c r="A175" s="4" t="n">
        <v>171</v>
      </c>
      <c r="B175" s="4" t="inlineStr">
        <is>
          <t>Todo</t>
        </is>
      </c>
      <c r="C175" s="5" t="inlineStr">
        <is>
          <t>Step 8: Bit Manipulation</t>
        </is>
      </c>
      <c r="D175" s="5" t="inlineStr">
        <is>
          <t>Advanced Maths</t>
        </is>
      </c>
      <c r="E175" s="5" t="inlineStr">
        <is>
          <t>Print Prime Factors of a Number</t>
        </is>
      </c>
      <c r="F175" s="17" t="inlineStr">
        <is>
          <t>Medium</t>
        </is>
      </c>
      <c r="G175" s="13">
        <f>HYPERLINK("https://leetcode.com/problems/distinct-prime-factors-of-product-of-array/", "LeetCode Practice")</f>
        <v/>
      </c>
      <c r="H175" s="20">
        <f>HYPERLINK("https://www.youtube.com/results?search_query=takeUforward+Print+Prime+Factors+of+a+Number", "YouTube Video")</f>
        <v/>
      </c>
    </row>
    <row r="176" ht="20" customHeight="1">
      <c r="A176" s="7" t="n">
        <v>172</v>
      </c>
      <c r="B176" s="7" t="inlineStr">
        <is>
          <t>Todo</t>
        </is>
      </c>
      <c r="C176" s="8" t="inlineStr">
        <is>
          <t>Step 8: Bit Manipulation</t>
        </is>
      </c>
      <c r="D176" s="8" t="inlineStr">
        <is>
          <t>Advanced Maths</t>
        </is>
      </c>
      <c r="E176" s="8" t="inlineStr">
        <is>
          <t>All Divisors of a Natural Number</t>
        </is>
      </c>
      <c r="F176" s="16" t="inlineStr">
        <is>
          <t>Easy</t>
        </is>
      </c>
      <c r="G176" s="15">
        <f>HYPERLINK("https://leetcode.com/problems/three-divisors/", "LeetCode Practice")</f>
        <v/>
      </c>
      <c r="H176" s="21">
        <f>HYPERLINK("https://www.youtube.com/results?search_query=takeUforward+All+Divisors+of+a+Natural+Number", "YouTube Video")</f>
        <v/>
      </c>
    </row>
    <row r="177" ht="20" customHeight="1">
      <c r="A177" s="4" t="n">
        <v>173</v>
      </c>
      <c r="B177" s="4" t="inlineStr">
        <is>
          <t>Todo</t>
        </is>
      </c>
      <c r="C177" s="5" t="inlineStr">
        <is>
          <t>Step 8: Bit Manipulation</t>
        </is>
      </c>
      <c r="D177" s="5" t="inlineStr">
        <is>
          <t>Advanced Maths</t>
        </is>
      </c>
      <c r="E177" s="5" t="inlineStr">
        <is>
          <t>Sieve of Eratosthenes</t>
        </is>
      </c>
      <c r="F177" s="17" t="inlineStr">
        <is>
          <t>Medium</t>
        </is>
      </c>
      <c r="G177" s="13">
        <f>HYPERLINK("https://leetcode.com/problems/count-primes/", "LeetCode Practice")</f>
        <v/>
      </c>
      <c r="H177" s="20">
        <f>HYPERLINK("https://www.youtube.com/results?search_query=takeUforward+Sieve+of+Eratosthenes", "YouTube Video")</f>
        <v/>
      </c>
    </row>
    <row r="178" ht="20" customHeight="1">
      <c r="A178" s="7" t="n">
        <v>174</v>
      </c>
      <c r="B178" s="7" t="inlineStr">
        <is>
          <t>Todo</t>
        </is>
      </c>
      <c r="C178" s="8" t="inlineStr">
        <is>
          <t>Step 8: Bit Manipulation</t>
        </is>
      </c>
      <c r="D178" s="8" t="inlineStr">
        <is>
          <t>Advanced Maths</t>
        </is>
      </c>
      <c r="E178" s="8" t="inlineStr">
        <is>
          <t>Find Prime Factorisation using Sieve</t>
        </is>
      </c>
      <c r="F178" s="14" t="inlineStr">
        <is>
          <t>Medium</t>
        </is>
      </c>
      <c r="G178" s="15">
        <f>HYPERLINK("https://leetcode.com/problems/count-primes/", "LeetCode Practice")</f>
        <v/>
      </c>
      <c r="H178" s="21">
        <f>HYPERLINK("https://www.youtube.com/results?search_query=takeUforward+Find+Prime+Factorisation+using+Sieve", "YouTube Video")</f>
        <v/>
      </c>
    </row>
    <row r="179" ht="20" customHeight="1">
      <c r="A179" s="4" t="n">
        <v>175</v>
      </c>
      <c r="B179" s="4" t="inlineStr">
        <is>
          <t>Todo</t>
        </is>
      </c>
      <c r="C179" s="5" t="inlineStr">
        <is>
          <t>Step 8: Bit Manipulation</t>
        </is>
      </c>
      <c r="D179" s="5" t="inlineStr">
        <is>
          <t>Advanced Maths</t>
        </is>
      </c>
      <c r="E179" s="5" t="inlineStr">
        <is>
          <t>Power(n, x)</t>
        </is>
      </c>
      <c r="F179" s="17" t="inlineStr">
        <is>
          <t>Medium</t>
        </is>
      </c>
      <c r="G179" s="13">
        <f>HYPERLINK("https://leetcode.com/problems/powx-n/", "LeetCode Practice")</f>
        <v/>
      </c>
      <c r="H179" s="20">
        <f>HYPERLINK("https://www.youtube.com/results?search_query=takeUforward+Power%28n%2C+x%29", "YouTube Video")</f>
        <v/>
      </c>
    </row>
    <row r="180" ht="20" customHeight="1">
      <c r="A180" s="7" t="n">
        <v>176</v>
      </c>
      <c r="B180" s="7" t="inlineStr">
        <is>
          <t>Todo</t>
        </is>
      </c>
      <c r="C180" s="8" t="inlineStr">
        <is>
          <t>Step 9: Stack and Queues</t>
        </is>
      </c>
      <c r="D180" s="8" t="inlineStr">
        <is>
          <t>Learning</t>
        </is>
      </c>
      <c r="E180" s="8" t="inlineStr">
        <is>
          <t>Implement Stack using Array</t>
        </is>
      </c>
      <c r="F180" s="16" t="inlineStr">
        <is>
          <t>Easy</t>
        </is>
      </c>
      <c r="G180" s="15">
        <f>HYPERLINK("https://leetcode.com/problems/implement-stack-using-queues/", "LeetCode Practice")</f>
        <v/>
      </c>
      <c r="H180" s="21">
        <f>HYPERLINK("https://www.youtube.com/results?search_query=takeUforward+Implement+Stack+using+Array", "YouTube Video")</f>
        <v/>
      </c>
    </row>
    <row r="181" ht="20" customHeight="1">
      <c r="A181" s="4" t="n">
        <v>177</v>
      </c>
      <c r="B181" s="4" t="inlineStr">
        <is>
          <t>Todo</t>
        </is>
      </c>
      <c r="C181" s="5" t="inlineStr">
        <is>
          <t>Step 9: Stack and Queues</t>
        </is>
      </c>
      <c r="D181" s="5" t="inlineStr">
        <is>
          <t>Learning</t>
        </is>
      </c>
      <c r="E181" s="5" t="inlineStr">
        <is>
          <t>Implement Queue using Array</t>
        </is>
      </c>
      <c r="F181" s="12" t="inlineStr">
        <is>
          <t>Easy</t>
        </is>
      </c>
      <c r="G181" s="13">
        <f>HYPERLINK("https://leetcode.com/problems/implement-queue-using-stacks/", "LeetCode Practice")</f>
        <v/>
      </c>
      <c r="H181" s="20">
        <f>HYPERLINK("https://www.youtube.com/results?search_query=takeUforward+Implement+Queue+using+Array", "YouTube Video")</f>
        <v/>
      </c>
    </row>
    <row r="182" ht="20" customHeight="1">
      <c r="A182" s="7" t="n">
        <v>178</v>
      </c>
      <c r="B182" s="7" t="inlineStr">
        <is>
          <t>Todo</t>
        </is>
      </c>
      <c r="C182" s="8" t="inlineStr">
        <is>
          <t>Step 9: Stack and Queues</t>
        </is>
      </c>
      <c r="D182" s="8" t="inlineStr">
        <is>
          <t>Learning</t>
        </is>
      </c>
      <c r="E182" s="8" t="inlineStr">
        <is>
          <t>Implement Stack using Queue</t>
        </is>
      </c>
      <c r="F182" s="16" t="inlineStr">
        <is>
          <t>Easy</t>
        </is>
      </c>
      <c r="G182" s="15">
        <f>HYPERLINK("https://leetcode.com/problems/implement-stack-using-queues/", "LeetCode Practice")</f>
        <v/>
      </c>
      <c r="H182" s="21">
        <f>HYPERLINK("https://www.youtube.com/results?search_query=takeUforward+Implement+Stack+using+Queue", "YouTube Video")</f>
        <v/>
      </c>
    </row>
    <row r="183" ht="20" customHeight="1">
      <c r="A183" s="4" t="n">
        <v>179</v>
      </c>
      <c r="B183" s="4" t="inlineStr">
        <is>
          <t>Todo</t>
        </is>
      </c>
      <c r="C183" s="5" t="inlineStr">
        <is>
          <t>Step 9: Stack and Queues</t>
        </is>
      </c>
      <c r="D183" s="5" t="inlineStr">
        <is>
          <t>Learning</t>
        </is>
      </c>
      <c r="E183" s="5" t="inlineStr">
        <is>
          <t>Implement Queue using Stack</t>
        </is>
      </c>
      <c r="F183" s="12" t="inlineStr">
        <is>
          <t>Easy</t>
        </is>
      </c>
      <c r="G183" s="13">
        <f>HYPERLINK("https://leetcode.com/problems/implement-queue-using-stacks/", "LeetCode Practice")</f>
        <v/>
      </c>
      <c r="H183" s="20">
        <f>HYPERLINK("https://www.youtube.com/results?search_query=takeUforward+Implement+Queue+using+Stack", "YouTube Video")</f>
        <v/>
      </c>
    </row>
    <row r="184" ht="20" customHeight="1">
      <c r="A184" s="7" t="n">
        <v>180</v>
      </c>
      <c r="B184" s="7" t="inlineStr">
        <is>
          <t>Todo</t>
        </is>
      </c>
      <c r="C184" s="8" t="inlineStr">
        <is>
          <t>Step 9: Stack and Queues</t>
        </is>
      </c>
      <c r="D184" s="8" t="inlineStr">
        <is>
          <t>Learning</t>
        </is>
      </c>
      <c r="E184" s="8" t="inlineStr">
        <is>
          <t>Implement Stack using Linked List</t>
        </is>
      </c>
      <c r="F184" s="14" t="inlineStr">
        <is>
          <t>Medium</t>
        </is>
      </c>
      <c r="G184" s="15">
        <f>HYPERLINK("https://leetcode.com/problems/design-linked-list/", "LeetCode Practice")</f>
        <v/>
      </c>
      <c r="H184" s="21">
        <f>HYPERLINK("https://www.youtube.com/results?search_query=takeUforward+Implement+Stack+using+Linked+List", "YouTube Video")</f>
        <v/>
      </c>
    </row>
    <row r="185" ht="20" customHeight="1">
      <c r="A185" s="4" t="n">
        <v>181</v>
      </c>
      <c r="B185" s="4" t="inlineStr">
        <is>
          <t>Todo</t>
        </is>
      </c>
      <c r="C185" s="5" t="inlineStr">
        <is>
          <t>Step 9: Stack and Queues</t>
        </is>
      </c>
      <c r="D185" s="5" t="inlineStr">
        <is>
          <t>Learning</t>
        </is>
      </c>
      <c r="E185" s="5" t="inlineStr">
        <is>
          <t>Implement Queue using Linked List</t>
        </is>
      </c>
      <c r="F185" s="17" t="inlineStr">
        <is>
          <t>Medium</t>
        </is>
      </c>
      <c r="G185" s="13">
        <f>HYPERLINK("https://leetcode.com/problems/design-linked-list/", "LeetCode Practice")</f>
        <v/>
      </c>
      <c r="H185" s="20">
        <f>HYPERLINK("https://www.youtube.com/results?search_query=takeUforward+Implement+Queue+using+Linked+List", "YouTube Video")</f>
        <v/>
      </c>
    </row>
    <row r="186" ht="20" customHeight="1">
      <c r="A186" s="7" t="n">
        <v>182</v>
      </c>
      <c r="B186" s="7" t="inlineStr">
        <is>
          <t>Todo</t>
        </is>
      </c>
      <c r="C186" s="8" t="inlineStr">
        <is>
          <t>Step 9: Stack and Queues</t>
        </is>
      </c>
      <c r="D186" s="8" t="inlineStr">
        <is>
          <t>Learning</t>
        </is>
      </c>
      <c r="E186" s="8" t="inlineStr">
        <is>
          <t>Check for Balanced Parentheses</t>
        </is>
      </c>
      <c r="F186" s="16" t="inlineStr">
        <is>
          <t>Easy</t>
        </is>
      </c>
      <c r="G186" s="15">
        <f>HYPERLINK("https://leetcode.com/problems/valid-parentheses/", "LeetCode Practice")</f>
        <v/>
      </c>
      <c r="H186" s="21">
        <f>HYPERLINK("https://www.youtube.com/results?search_query=takeUforward+Check+for+Balanced+Parentheses", "YouTube Video")</f>
        <v/>
      </c>
    </row>
    <row r="187" ht="20" customHeight="1">
      <c r="A187" s="4" t="n">
        <v>183</v>
      </c>
      <c r="B187" s="4" t="inlineStr">
        <is>
          <t>Todo</t>
        </is>
      </c>
      <c r="C187" s="5" t="inlineStr">
        <is>
          <t>Step 9: Stack and Queues</t>
        </is>
      </c>
      <c r="D187" s="5" t="inlineStr">
        <is>
          <t>Learning</t>
        </is>
      </c>
      <c r="E187" s="5" t="inlineStr">
        <is>
          <t>Implement Min Stack</t>
        </is>
      </c>
      <c r="F187" s="17" t="inlineStr">
        <is>
          <t>Medium</t>
        </is>
      </c>
      <c r="G187" s="13">
        <f>HYPERLINK("https://leetcode.com/problems/min-stack/", "LeetCode Practice")</f>
        <v/>
      </c>
      <c r="H187" s="20">
        <f>HYPERLINK("https://www.youtube.com/results?search_query=takeUforward+Implement+Min+Stack", "YouTube Video")</f>
        <v/>
      </c>
    </row>
    <row r="188" ht="20" customHeight="1">
      <c r="A188" s="7" t="n">
        <v>184</v>
      </c>
      <c r="B188" s="7" t="inlineStr">
        <is>
          <t>Todo</t>
        </is>
      </c>
      <c r="C188" s="8" t="inlineStr">
        <is>
          <t>Step 9: Stack and Queues</t>
        </is>
      </c>
      <c r="D188" s="8" t="inlineStr">
        <is>
          <t>Prefix/Infix/Postfix</t>
        </is>
      </c>
      <c r="E188" s="8" t="inlineStr">
        <is>
          <t>Infix to Postfix Conversion</t>
        </is>
      </c>
      <c r="F188" s="14" t="inlineStr">
        <is>
          <t>Medium</t>
        </is>
      </c>
      <c r="G188" s="15">
        <f>HYPERLINK("https://leetcode.com/problems/basic-calculator/", "LeetCode Practice")</f>
        <v/>
      </c>
      <c r="H188" s="21">
        <f>HYPERLINK("https://www.youtube.com/results?search_query=takeUforward+Infix+to+Postfix+Conversion", "YouTube Video")</f>
        <v/>
      </c>
    </row>
    <row r="189" ht="20" customHeight="1">
      <c r="A189" s="4" t="n">
        <v>185</v>
      </c>
      <c r="B189" s="4" t="inlineStr">
        <is>
          <t>Todo</t>
        </is>
      </c>
      <c r="C189" s="5" t="inlineStr">
        <is>
          <t>Step 9: Stack and Queues</t>
        </is>
      </c>
      <c r="D189" s="5" t="inlineStr">
        <is>
          <t>Prefix/Infix/Postfix</t>
        </is>
      </c>
      <c r="E189" s="5" t="inlineStr">
        <is>
          <t>Prefix to Infix Conversion</t>
        </is>
      </c>
      <c r="F189" s="17" t="inlineStr">
        <is>
          <t>Medium</t>
        </is>
      </c>
      <c r="G189" s="13">
        <f>HYPERLINK("https://leetcode.com/problems/basic-calculator-ii/", "LeetCode Practice")</f>
        <v/>
      </c>
      <c r="H189" s="20">
        <f>HYPERLINK("https://www.youtube.com/results?search_query=takeUforward+Prefix+to+Infix+Conversion", "YouTube Video")</f>
        <v/>
      </c>
    </row>
    <row r="190" ht="20" customHeight="1">
      <c r="A190" s="7" t="n">
        <v>186</v>
      </c>
      <c r="B190" s="7" t="inlineStr">
        <is>
          <t>Todo</t>
        </is>
      </c>
      <c r="C190" s="8" t="inlineStr">
        <is>
          <t>Step 9: Stack and Queues</t>
        </is>
      </c>
      <c r="D190" s="8" t="inlineStr">
        <is>
          <t>Prefix/Infix/Postfix</t>
        </is>
      </c>
      <c r="E190" s="8" t="inlineStr">
        <is>
          <t>Prefix to Postfix Conversion</t>
        </is>
      </c>
      <c r="F190" s="14" t="inlineStr">
        <is>
          <t>Medium</t>
        </is>
      </c>
      <c r="G190" s="15">
        <f>HYPERLINK("https://leetcode.com/problems/evaluate-reverse-polish-notation/", "LeetCode Practice")</f>
        <v/>
      </c>
      <c r="H190" s="21">
        <f>HYPERLINK("https://www.youtube.com/results?search_query=takeUforward+Prefix+to+Postfix+Conversion", "YouTube Video")</f>
        <v/>
      </c>
    </row>
    <row r="191" ht="20" customHeight="1">
      <c r="A191" s="4" t="n">
        <v>187</v>
      </c>
      <c r="B191" s="4" t="inlineStr">
        <is>
          <t>Todo</t>
        </is>
      </c>
      <c r="C191" s="5" t="inlineStr">
        <is>
          <t>Step 9: Stack and Queues</t>
        </is>
      </c>
      <c r="D191" s="5" t="inlineStr">
        <is>
          <t>Prefix/Infix/Postfix</t>
        </is>
      </c>
      <c r="E191" s="5" t="inlineStr">
        <is>
          <t>Postfix to Prefix Conversion</t>
        </is>
      </c>
      <c r="F191" s="17" t="inlineStr">
        <is>
          <t>Medium</t>
        </is>
      </c>
      <c r="G191" s="13">
        <f>HYPERLINK("https://leetcode.com/problems/evaluate-reverse-polish-notation/", "LeetCode Practice")</f>
        <v/>
      </c>
      <c r="H191" s="20">
        <f>HYPERLINK("https://www.youtube.com/results?search_query=takeUforward+Postfix+to+Prefix+Conversion", "YouTube Video")</f>
        <v/>
      </c>
    </row>
    <row r="192" ht="20" customHeight="1">
      <c r="A192" s="7" t="n">
        <v>188</v>
      </c>
      <c r="B192" s="7" t="inlineStr">
        <is>
          <t>Todo</t>
        </is>
      </c>
      <c r="C192" s="8" t="inlineStr">
        <is>
          <t>Step 9: Stack and Queues</t>
        </is>
      </c>
      <c r="D192" s="8" t="inlineStr">
        <is>
          <t>Prefix/Infix/Postfix</t>
        </is>
      </c>
      <c r="E192" s="8" t="inlineStr">
        <is>
          <t>Postfix to Infix Conversion</t>
        </is>
      </c>
      <c r="F192" s="14" t="inlineStr">
        <is>
          <t>Medium</t>
        </is>
      </c>
      <c r="G192" s="15">
        <f>HYPERLINK("https://leetcode.com/problems/evaluate-reverse-polish-notation/", "LeetCode Practice")</f>
        <v/>
      </c>
      <c r="H192" s="21">
        <f>HYPERLINK("https://www.youtube.com/results?search_query=takeUforward+Postfix+to+Infix+Conversion", "YouTube Video")</f>
        <v/>
      </c>
    </row>
    <row r="193" ht="20" customHeight="1">
      <c r="A193" s="4" t="n">
        <v>189</v>
      </c>
      <c r="B193" s="4" t="inlineStr">
        <is>
          <t>Todo</t>
        </is>
      </c>
      <c r="C193" s="5" t="inlineStr">
        <is>
          <t>Step 9: Stack and Queues</t>
        </is>
      </c>
      <c r="D193" s="5" t="inlineStr">
        <is>
          <t>Monotonic Stack</t>
        </is>
      </c>
      <c r="E193" s="5" t="inlineStr">
        <is>
          <t>Next Greater Element</t>
        </is>
      </c>
      <c r="F193" s="12" t="inlineStr">
        <is>
          <t>Easy</t>
        </is>
      </c>
      <c r="G193" s="13">
        <f>HYPERLINK("https://leetcode.com/problems/next-greater-element-i/", "LeetCode Practice")</f>
        <v/>
      </c>
      <c r="H193" s="20">
        <f>HYPERLINK("https://www.youtube.com/results?search_query=takeUforward+Next+Greater+Element", "YouTube Video")</f>
        <v/>
      </c>
    </row>
    <row r="194" ht="20" customHeight="1">
      <c r="A194" s="7" t="n">
        <v>190</v>
      </c>
      <c r="B194" s="7" t="inlineStr">
        <is>
          <t>Todo</t>
        </is>
      </c>
      <c r="C194" s="8" t="inlineStr">
        <is>
          <t>Step 9: Stack and Queues</t>
        </is>
      </c>
      <c r="D194" s="8" t="inlineStr">
        <is>
          <t>Monotonic Stack</t>
        </is>
      </c>
      <c r="E194" s="8" t="inlineStr">
        <is>
          <t>Next Greater Element II</t>
        </is>
      </c>
      <c r="F194" s="14" t="inlineStr">
        <is>
          <t>Medium</t>
        </is>
      </c>
      <c r="G194" s="15">
        <f>HYPERLINK("https://leetcode.com/problems/next-greater-element-ii/", "LeetCode Practice")</f>
        <v/>
      </c>
      <c r="H194" s="21">
        <f>HYPERLINK("https://www.youtube.com/results?search_query=takeUforward+Next+Greater+Element+II", "YouTube Video")</f>
        <v/>
      </c>
    </row>
    <row r="195" ht="20" customHeight="1">
      <c r="A195" s="4" t="n">
        <v>191</v>
      </c>
      <c r="B195" s="4" t="inlineStr">
        <is>
          <t>Todo</t>
        </is>
      </c>
      <c r="C195" s="5" t="inlineStr">
        <is>
          <t>Step 9: Stack and Queues</t>
        </is>
      </c>
      <c r="D195" s="5" t="inlineStr">
        <is>
          <t>Monotonic Stack</t>
        </is>
      </c>
      <c r="E195" s="5" t="inlineStr">
        <is>
          <t>Next Smaller Element</t>
        </is>
      </c>
      <c r="F195" s="17" t="inlineStr">
        <is>
          <t>Medium</t>
        </is>
      </c>
      <c r="G195" s="13">
        <f>HYPERLINK("https://leetcode.com/problems/final-prices-with-a-special-discount-in-a-shop/", "LeetCode Practice")</f>
        <v/>
      </c>
      <c r="H195" s="20">
        <f>HYPERLINK("https://www.youtube.com/results?search_query=takeUforward+Next+Smaller+Element", "YouTube Video")</f>
        <v/>
      </c>
    </row>
    <row r="196" ht="20" customHeight="1">
      <c r="A196" s="7" t="n">
        <v>192</v>
      </c>
      <c r="B196" s="7" t="inlineStr">
        <is>
          <t>Todo</t>
        </is>
      </c>
      <c r="C196" s="8" t="inlineStr">
        <is>
          <t>Step 9: Stack and Queues</t>
        </is>
      </c>
      <c r="D196" s="8" t="inlineStr">
        <is>
          <t>Monotonic Stack</t>
        </is>
      </c>
      <c r="E196" s="8" t="inlineStr">
        <is>
          <t>Number of NGEs to the right</t>
        </is>
      </c>
      <c r="F196" s="14" t="inlineStr">
        <is>
          <t>Medium</t>
        </is>
      </c>
      <c r="G196" s="15">
        <f>HYPERLINK("https://leetcode.com/problems/daily-temperatures/", "LeetCode Practice")</f>
        <v/>
      </c>
      <c r="H196" s="21">
        <f>HYPERLINK("https://www.youtube.com/results?search_query=takeUforward+Number+of+NGEs+to+the+right", "YouTube Video")</f>
        <v/>
      </c>
    </row>
    <row r="197" ht="20" customHeight="1">
      <c r="A197" s="4" t="n">
        <v>193</v>
      </c>
      <c r="B197" s="4" t="inlineStr">
        <is>
          <t>Todo</t>
        </is>
      </c>
      <c r="C197" s="5" t="inlineStr">
        <is>
          <t>Step 9: Stack and Queues</t>
        </is>
      </c>
      <c r="D197" s="5" t="inlineStr">
        <is>
          <t>Monotonic Stack</t>
        </is>
      </c>
      <c r="E197" s="5" t="inlineStr">
        <is>
          <t>Trapping Rainwater</t>
        </is>
      </c>
      <c r="F197" s="18" t="inlineStr">
        <is>
          <t>Hard</t>
        </is>
      </c>
      <c r="G197" s="13">
        <f>HYPERLINK("https://leetcode.com/problems/trapping-rain-water/", "LeetCode Practice")</f>
        <v/>
      </c>
      <c r="H197" s="20">
        <f>HYPERLINK("https://www.youtube.com/results?search_query=takeUforward+Trapping+Rainwater", "YouTube Video")</f>
        <v/>
      </c>
    </row>
    <row r="198" ht="20" customHeight="1">
      <c r="A198" s="7" t="n">
        <v>194</v>
      </c>
      <c r="B198" s="7" t="inlineStr">
        <is>
          <t>Todo</t>
        </is>
      </c>
      <c r="C198" s="8" t="inlineStr">
        <is>
          <t>Step 9: Stack and Queues</t>
        </is>
      </c>
      <c r="D198" s="8" t="inlineStr">
        <is>
          <t>Monotonic Stack</t>
        </is>
      </c>
      <c r="E198" s="8" t="inlineStr">
        <is>
          <t>Sum of Subarray Minimums</t>
        </is>
      </c>
      <c r="F198" s="14" t="inlineStr">
        <is>
          <t>Medium</t>
        </is>
      </c>
      <c r="G198" s="15">
        <f>HYPERLINK("https://leetcode.com/problems/sum-of-subarray-minimums/", "LeetCode Practice")</f>
        <v/>
      </c>
      <c r="H198" s="21">
        <f>HYPERLINK("https://www.youtube.com/results?search_query=takeUforward+Sum+of+Subarray+Minimums", "YouTube Video")</f>
        <v/>
      </c>
    </row>
    <row r="199" ht="20" customHeight="1">
      <c r="A199" s="4" t="n">
        <v>195</v>
      </c>
      <c r="B199" s="4" t="inlineStr">
        <is>
          <t>Todo</t>
        </is>
      </c>
      <c r="C199" s="5" t="inlineStr">
        <is>
          <t>Step 9: Stack and Queues</t>
        </is>
      </c>
      <c r="D199" s="5" t="inlineStr">
        <is>
          <t>Monotonic Stack</t>
        </is>
      </c>
      <c r="E199" s="5" t="inlineStr">
        <is>
          <t>Asteroid Collision</t>
        </is>
      </c>
      <c r="F199" s="17" t="inlineStr">
        <is>
          <t>Medium</t>
        </is>
      </c>
      <c r="G199" s="13">
        <f>HYPERLINK("https://leetcode.com/problems/asteroid-collision/", "LeetCode Practice")</f>
        <v/>
      </c>
      <c r="H199" s="20">
        <f>HYPERLINK("https://www.youtube.com/results?search_query=takeUforward+Asteroid+Collision", "YouTube Video")</f>
        <v/>
      </c>
    </row>
    <row r="200" ht="20" customHeight="1">
      <c r="A200" s="7" t="n">
        <v>196</v>
      </c>
      <c r="B200" s="7" t="inlineStr">
        <is>
          <t>Todo</t>
        </is>
      </c>
      <c r="C200" s="8" t="inlineStr">
        <is>
          <t>Step 9: Stack and Queues</t>
        </is>
      </c>
      <c r="D200" s="8" t="inlineStr">
        <is>
          <t>Monotonic Stack</t>
        </is>
      </c>
      <c r="E200" s="8" t="inlineStr">
        <is>
          <t>Sum of Subarray Ranges</t>
        </is>
      </c>
      <c r="F200" s="14" t="inlineStr">
        <is>
          <t>Medium</t>
        </is>
      </c>
      <c r="G200" s="15">
        <f>HYPERLINK("https://leetcode.com/problems/sum-of-subarray-ranges/", "LeetCode Practice")</f>
        <v/>
      </c>
      <c r="H200" s="21">
        <f>HYPERLINK("https://www.youtube.com/results?search_query=takeUforward+Sum+of+Subarray+Ranges", "YouTube Video")</f>
        <v/>
      </c>
    </row>
    <row r="201" ht="20" customHeight="1">
      <c r="A201" s="4" t="n">
        <v>197</v>
      </c>
      <c r="B201" s="4" t="inlineStr">
        <is>
          <t>Todo</t>
        </is>
      </c>
      <c r="C201" s="5" t="inlineStr">
        <is>
          <t>Step 9: Stack and Queues</t>
        </is>
      </c>
      <c r="D201" s="5" t="inlineStr">
        <is>
          <t>Monotonic Stack</t>
        </is>
      </c>
      <c r="E201" s="5" t="inlineStr">
        <is>
          <t>Remove K Digits</t>
        </is>
      </c>
      <c r="F201" s="17" t="inlineStr">
        <is>
          <t>Medium</t>
        </is>
      </c>
      <c r="G201" s="13">
        <f>HYPERLINK("https://leetcode.com/problems/remove-k-digits/", "LeetCode Practice")</f>
        <v/>
      </c>
      <c r="H201" s="20">
        <f>HYPERLINK("https://www.youtube.com/results?search_query=takeUforward+Remove+K+Digits", "YouTube Video")</f>
        <v/>
      </c>
    </row>
    <row r="202" ht="20" customHeight="1">
      <c r="A202" s="7" t="n">
        <v>198</v>
      </c>
      <c r="B202" s="7" t="inlineStr">
        <is>
          <t>Todo</t>
        </is>
      </c>
      <c r="C202" s="8" t="inlineStr">
        <is>
          <t>Step 9: Stack and Queues</t>
        </is>
      </c>
      <c r="D202" s="8" t="inlineStr">
        <is>
          <t>Monotonic Stack</t>
        </is>
      </c>
      <c r="E202" s="8" t="inlineStr">
        <is>
          <t>Largest Rectangle in Histogram</t>
        </is>
      </c>
      <c r="F202" s="19" t="inlineStr">
        <is>
          <t>Hard</t>
        </is>
      </c>
      <c r="G202" s="15">
        <f>HYPERLINK("https://leetcode.com/problems/largest-rectangle-in-histogram/", "LeetCode Practice")</f>
        <v/>
      </c>
      <c r="H202" s="21">
        <f>HYPERLINK("https://www.youtube.com/results?search_query=takeUforward+Largest+Rectangle+in+Histogram", "YouTube Video")</f>
        <v/>
      </c>
    </row>
    <row r="203" ht="20" customHeight="1">
      <c r="A203" s="4" t="n">
        <v>199</v>
      </c>
      <c r="B203" s="4" t="inlineStr">
        <is>
          <t>Todo</t>
        </is>
      </c>
      <c r="C203" s="5" t="inlineStr">
        <is>
          <t>Step 9: Stack and Queues</t>
        </is>
      </c>
      <c r="D203" s="5" t="inlineStr">
        <is>
          <t>Monotonic Stack</t>
        </is>
      </c>
      <c r="E203" s="5" t="inlineStr">
        <is>
          <t>Maximal Rectangle (Matrix)</t>
        </is>
      </c>
      <c r="F203" s="18" t="inlineStr">
        <is>
          <t>Hard</t>
        </is>
      </c>
      <c r="G203" s="13">
        <f>HYPERLINK("https://leetcode.com/problems/maximal-rectangle/", "LeetCode Practice")</f>
        <v/>
      </c>
      <c r="H203" s="20">
        <f>HYPERLINK("https://www.youtube.com/results?search_query=takeUforward+Maximal+Rectangle+%28Matrix%29", "YouTube Video")</f>
        <v/>
      </c>
    </row>
    <row r="204" ht="20" customHeight="1">
      <c r="A204" s="7" t="n">
        <v>200</v>
      </c>
      <c r="B204" s="7" t="inlineStr">
        <is>
          <t>Todo</t>
        </is>
      </c>
      <c r="C204" s="8" t="inlineStr">
        <is>
          <t>Step 9: Stack and Queues</t>
        </is>
      </c>
      <c r="D204" s="8" t="inlineStr">
        <is>
          <t>Implementation</t>
        </is>
      </c>
      <c r="E204" s="8" t="inlineStr">
        <is>
          <t>Sliding Window Maximum</t>
        </is>
      </c>
      <c r="F204" s="19" t="inlineStr">
        <is>
          <t>Hard</t>
        </is>
      </c>
      <c r="G204" s="15">
        <f>HYPERLINK("https://leetcode.com/problems/sliding-window-maximum/", "LeetCode Practice")</f>
        <v/>
      </c>
      <c r="H204" s="21">
        <f>HYPERLINK("https://www.youtube.com/results?search_query=takeUforward+Sliding+Window+Maximum", "YouTube Video")</f>
        <v/>
      </c>
    </row>
    <row r="205" ht="20" customHeight="1">
      <c r="A205" s="4" t="n">
        <v>201</v>
      </c>
      <c r="B205" s="4" t="inlineStr">
        <is>
          <t>Todo</t>
        </is>
      </c>
      <c r="C205" s="5" t="inlineStr">
        <is>
          <t>Step 9: Stack and Queues</t>
        </is>
      </c>
      <c r="D205" s="5" t="inlineStr">
        <is>
          <t>Implementation</t>
        </is>
      </c>
      <c r="E205" s="5" t="inlineStr">
        <is>
          <t>Online Stock Span</t>
        </is>
      </c>
      <c r="F205" s="17" t="inlineStr">
        <is>
          <t>Medium</t>
        </is>
      </c>
      <c r="G205" s="13">
        <f>HYPERLINK("https://leetcode.com/problems/online-stock-span/", "LeetCode Practice")</f>
        <v/>
      </c>
      <c r="H205" s="20">
        <f>HYPERLINK("https://www.youtube.com/results?search_query=takeUforward+Online+Stock+Span", "YouTube Video")</f>
        <v/>
      </c>
    </row>
    <row r="206" ht="20" customHeight="1">
      <c r="A206" s="7" t="n">
        <v>202</v>
      </c>
      <c r="B206" s="7" t="inlineStr">
        <is>
          <t>Todo</t>
        </is>
      </c>
      <c r="C206" s="8" t="inlineStr">
        <is>
          <t>Step 9: Stack and Queues</t>
        </is>
      </c>
      <c r="D206" s="8" t="inlineStr">
        <is>
          <t>Implementation</t>
        </is>
      </c>
      <c r="E206" s="8" t="inlineStr">
        <is>
          <t>The Celebrity Problem</t>
        </is>
      </c>
      <c r="F206" s="14" t="inlineStr">
        <is>
          <t>Medium</t>
        </is>
      </c>
      <c r="G206" s="15">
        <f>HYPERLINK("https://leetcode.com/problems/find-the-celebrity/", "LeetCode Practice")</f>
        <v/>
      </c>
      <c r="H206" s="21">
        <f>HYPERLINK("https://www.youtube.com/results?search_query=takeUforward+The+Celebrity+Problem", "YouTube Video")</f>
        <v/>
      </c>
    </row>
    <row r="207" ht="20" customHeight="1">
      <c r="A207" s="4" t="n">
        <v>203</v>
      </c>
      <c r="B207" s="4" t="inlineStr">
        <is>
          <t>Todo</t>
        </is>
      </c>
      <c r="C207" s="5" t="inlineStr">
        <is>
          <t>Step 9: Stack and Queues</t>
        </is>
      </c>
      <c r="D207" s="5" t="inlineStr">
        <is>
          <t>Implementation</t>
        </is>
      </c>
      <c r="E207" s="5" t="inlineStr">
        <is>
          <t>LRU Cache</t>
        </is>
      </c>
      <c r="F207" s="17" t="inlineStr">
        <is>
          <t>Medium</t>
        </is>
      </c>
      <c r="G207" s="13">
        <f>HYPERLINK("https://leetcode.com/problems/lru-cache/", "LeetCode Practice")</f>
        <v/>
      </c>
      <c r="H207" s="20">
        <f>HYPERLINK("https://www.youtube.com/results?search_query=takeUforward+LRU+Cache", "YouTube Video")</f>
        <v/>
      </c>
    </row>
    <row r="208" ht="20" customHeight="1">
      <c r="A208" s="7" t="n">
        <v>204</v>
      </c>
      <c r="B208" s="7" t="inlineStr">
        <is>
          <t>Todo</t>
        </is>
      </c>
      <c r="C208" s="8" t="inlineStr">
        <is>
          <t>Step 9: Stack and Queues</t>
        </is>
      </c>
      <c r="D208" s="8" t="inlineStr">
        <is>
          <t>Implementation</t>
        </is>
      </c>
      <c r="E208" s="8" t="inlineStr">
        <is>
          <t>LFU Cache</t>
        </is>
      </c>
      <c r="F208" s="19" t="inlineStr">
        <is>
          <t>Hard</t>
        </is>
      </c>
      <c r="G208" s="15">
        <f>HYPERLINK("https://leetcode.com/problems/lfu-cache/", "LeetCode Practice")</f>
        <v/>
      </c>
      <c r="H208" s="21">
        <f>HYPERLINK("https://www.youtube.com/results?search_query=takeUforward+LFU+Cache", "YouTube Video")</f>
        <v/>
      </c>
    </row>
    <row r="209" ht="20" customHeight="1">
      <c r="A209" s="4" t="n">
        <v>205</v>
      </c>
      <c r="B209" s="4" t="inlineStr">
        <is>
          <t>Todo</t>
        </is>
      </c>
      <c r="C209" s="5" t="inlineStr">
        <is>
          <t>Step 10: Sliding Window</t>
        </is>
      </c>
      <c r="D209" s="5" t="inlineStr">
        <is>
          <t>Medium Problems</t>
        </is>
      </c>
      <c r="E209" s="5" t="inlineStr">
        <is>
          <t>Longest Substring Without Repeating Characters</t>
        </is>
      </c>
      <c r="F209" s="17" t="inlineStr">
        <is>
          <t>Medium</t>
        </is>
      </c>
      <c r="G209" s="13">
        <f>HYPERLINK("https://leetcode.com/problems/longest-substring-without-repeating-characters/", "LeetCode Practice")</f>
        <v/>
      </c>
      <c r="H209" s="20">
        <f>HYPERLINK("https://www.youtube.com/results?search_query=takeUforward+Longest+Substring+Without+Repeating+Characters", "YouTube Video")</f>
        <v/>
      </c>
    </row>
    <row r="210" ht="20" customHeight="1">
      <c r="A210" s="7" t="n">
        <v>206</v>
      </c>
      <c r="B210" s="7" t="inlineStr">
        <is>
          <t>Todo</t>
        </is>
      </c>
      <c r="C210" s="8" t="inlineStr">
        <is>
          <t>Step 10: Sliding Window</t>
        </is>
      </c>
      <c r="D210" s="8" t="inlineStr">
        <is>
          <t>Medium Problems</t>
        </is>
      </c>
      <c r="E210" s="8" t="inlineStr">
        <is>
          <t>Max Consecutive Ones III</t>
        </is>
      </c>
      <c r="F210" s="14" t="inlineStr">
        <is>
          <t>Medium</t>
        </is>
      </c>
      <c r="G210" s="15">
        <f>HYPERLINK("https://leetcode.com/problems/max-consecutive-ones-iii/", "LeetCode Practice")</f>
        <v/>
      </c>
      <c r="H210" s="21">
        <f>HYPERLINK("https://www.youtube.com/results?search_query=takeUforward+Max+Consecutive+Ones+III", "YouTube Video")</f>
        <v/>
      </c>
    </row>
    <row r="211" ht="20" customHeight="1">
      <c r="A211" s="4" t="n">
        <v>207</v>
      </c>
      <c r="B211" s="4" t="inlineStr">
        <is>
          <t>Todo</t>
        </is>
      </c>
      <c r="C211" s="5" t="inlineStr">
        <is>
          <t>Step 10: Sliding Window</t>
        </is>
      </c>
      <c r="D211" s="5" t="inlineStr">
        <is>
          <t>Medium Problems</t>
        </is>
      </c>
      <c r="E211" s="5" t="inlineStr">
        <is>
          <t>Fruit Into Baskets</t>
        </is>
      </c>
      <c r="F211" s="17" t="inlineStr">
        <is>
          <t>Medium</t>
        </is>
      </c>
      <c r="G211" s="13">
        <f>HYPERLINK("https://leetcode.com/problems/fruit-into-baskets/", "LeetCode Practice")</f>
        <v/>
      </c>
      <c r="H211" s="20">
        <f>HYPERLINK("https://www.youtube.com/results?search_query=takeUforward+Fruit+Into+Baskets", "YouTube Video")</f>
        <v/>
      </c>
    </row>
    <row r="212" ht="20" customHeight="1">
      <c r="A212" s="7" t="n">
        <v>208</v>
      </c>
      <c r="B212" s="7" t="inlineStr">
        <is>
          <t>Todo</t>
        </is>
      </c>
      <c r="C212" s="8" t="inlineStr">
        <is>
          <t>Step 10: Sliding Window</t>
        </is>
      </c>
      <c r="D212" s="8" t="inlineStr">
        <is>
          <t>Medium Problems</t>
        </is>
      </c>
      <c r="E212" s="8" t="inlineStr">
        <is>
          <t>Longest Repeating Character Replacement</t>
        </is>
      </c>
      <c r="F212" s="14" t="inlineStr">
        <is>
          <t>Medium</t>
        </is>
      </c>
      <c r="G212" s="15">
        <f>HYPERLINK("https://leetcode.com/problems/longest-repeating-character-replacement/", "LeetCode Practice")</f>
        <v/>
      </c>
      <c r="H212" s="21">
        <f>HYPERLINK("https://www.youtube.com/results?search_query=takeUforward+Longest+Repeating+Character+Replacement", "YouTube Video")</f>
        <v/>
      </c>
    </row>
    <row r="213" ht="20" customHeight="1">
      <c r="A213" s="4" t="n">
        <v>209</v>
      </c>
      <c r="B213" s="4" t="inlineStr">
        <is>
          <t>Todo</t>
        </is>
      </c>
      <c r="C213" s="5" t="inlineStr">
        <is>
          <t>Step 10: Sliding Window</t>
        </is>
      </c>
      <c r="D213" s="5" t="inlineStr">
        <is>
          <t>Medium Problems</t>
        </is>
      </c>
      <c r="E213" s="5" t="inlineStr">
        <is>
          <t>Binary Subarrays With Sum</t>
        </is>
      </c>
      <c r="F213" s="17" t="inlineStr">
        <is>
          <t>Medium</t>
        </is>
      </c>
      <c r="G213" s="13">
        <f>HYPERLINK("https://leetcode.com/problems/binary-subarrays-with-sum/", "LeetCode Practice")</f>
        <v/>
      </c>
      <c r="H213" s="20">
        <f>HYPERLINK("https://www.youtube.com/results?search_query=takeUforward+Binary+Subarrays+With+Sum", "YouTube Video")</f>
        <v/>
      </c>
    </row>
    <row r="214" ht="20" customHeight="1">
      <c r="A214" s="7" t="n">
        <v>210</v>
      </c>
      <c r="B214" s="7" t="inlineStr">
        <is>
          <t>Todo</t>
        </is>
      </c>
      <c r="C214" s="8" t="inlineStr">
        <is>
          <t>Step 10: Sliding Window</t>
        </is>
      </c>
      <c r="D214" s="8" t="inlineStr">
        <is>
          <t>Medium Problems</t>
        </is>
      </c>
      <c r="E214" s="8" t="inlineStr">
        <is>
          <t>Count Number of Nice Subarrays</t>
        </is>
      </c>
      <c r="F214" s="14" t="inlineStr">
        <is>
          <t>Medium</t>
        </is>
      </c>
      <c r="G214" s="15">
        <f>HYPERLINK("https://leetcode.com/problems/count-number-of-nice-subarrays/", "LeetCode Practice")</f>
        <v/>
      </c>
      <c r="H214" s="21">
        <f>HYPERLINK("https://www.youtube.com/results?search_query=takeUforward+Count+Number+of+Nice+Subarrays", "YouTube Video")</f>
        <v/>
      </c>
    </row>
    <row r="215" ht="20" customHeight="1">
      <c r="A215" s="4" t="n">
        <v>211</v>
      </c>
      <c r="B215" s="4" t="inlineStr">
        <is>
          <t>Todo</t>
        </is>
      </c>
      <c r="C215" s="5" t="inlineStr">
        <is>
          <t>Step 10: Sliding Window</t>
        </is>
      </c>
      <c r="D215" s="5" t="inlineStr">
        <is>
          <t>Medium Problems</t>
        </is>
      </c>
      <c r="E215" s="5" t="inlineStr">
        <is>
          <t>Number of Substrings Containing All Three Characters</t>
        </is>
      </c>
      <c r="F215" s="17" t="inlineStr">
        <is>
          <t>Medium</t>
        </is>
      </c>
      <c r="G215" s="13">
        <f>HYPERLINK("https://leetcode.com/problems/number-of-substrings-containing-all-three-characters/", "LeetCode Practice")</f>
        <v/>
      </c>
      <c r="H215" s="20">
        <f>HYPERLINK("https://www.youtube.com/results?search_query=takeUforward+Number+of+Substrings+Containing+All+Three+Characters", "YouTube Video")</f>
        <v/>
      </c>
    </row>
    <row r="216" ht="20" customHeight="1">
      <c r="A216" s="7" t="n">
        <v>212</v>
      </c>
      <c r="B216" s="7" t="inlineStr">
        <is>
          <t>Todo</t>
        </is>
      </c>
      <c r="C216" s="8" t="inlineStr">
        <is>
          <t>Step 10: Sliding Window</t>
        </is>
      </c>
      <c r="D216" s="8" t="inlineStr">
        <is>
          <t>Medium Problems</t>
        </is>
      </c>
      <c r="E216" s="8" t="inlineStr">
        <is>
          <t>Maximum Points You Can Obtain from Cards</t>
        </is>
      </c>
      <c r="F216" s="14" t="inlineStr">
        <is>
          <t>Medium</t>
        </is>
      </c>
      <c r="G216" s="15">
        <f>HYPERLINK("https://leetcode.com/problems/maximum-points-you-can-obtain-from-cards/", "LeetCode Practice")</f>
        <v/>
      </c>
      <c r="H216" s="21">
        <f>HYPERLINK("https://www.youtube.com/results?search_query=takeUforward+Maximum+Points+You+Can+Obtain+from+Cards", "YouTube Video")</f>
        <v/>
      </c>
    </row>
    <row r="217" ht="20" customHeight="1">
      <c r="A217" s="4" t="n">
        <v>213</v>
      </c>
      <c r="B217" s="4" t="inlineStr">
        <is>
          <t>Todo</t>
        </is>
      </c>
      <c r="C217" s="5" t="inlineStr">
        <is>
          <t>Step 10: Sliding Window</t>
        </is>
      </c>
      <c r="D217" s="5" t="inlineStr">
        <is>
          <t>Hard Problems</t>
        </is>
      </c>
      <c r="E217" s="5" t="inlineStr">
        <is>
          <t>Longest Substring with At Most K Distinct Characters</t>
        </is>
      </c>
      <c r="F217" s="17" t="inlineStr">
        <is>
          <t>Medium</t>
        </is>
      </c>
      <c r="G217" s="13">
        <f>HYPERLINK("https://leetcode.com/problems/longest-substring-with-at-most-k-distinct-characters/", "LeetCode Practice")</f>
        <v/>
      </c>
      <c r="H217" s="20">
        <f>HYPERLINK("https://www.youtube.com/results?search_query=takeUforward+Longest+Substring+with+At+Most+K+Distinct+Characters", "YouTube Video")</f>
        <v/>
      </c>
    </row>
    <row r="218" ht="20" customHeight="1">
      <c r="A218" s="7" t="n">
        <v>214</v>
      </c>
      <c r="B218" s="7" t="inlineStr">
        <is>
          <t>Todo</t>
        </is>
      </c>
      <c r="C218" s="8" t="inlineStr">
        <is>
          <t>Step 10: Sliding Window</t>
        </is>
      </c>
      <c r="D218" s="8" t="inlineStr">
        <is>
          <t>Hard Problems</t>
        </is>
      </c>
      <c r="E218" s="8" t="inlineStr">
        <is>
          <t>Subarrays with K Different Integers</t>
        </is>
      </c>
      <c r="F218" s="19" t="inlineStr">
        <is>
          <t>Hard</t>
        </is>
      </c>
      <c r="G218" s="15">
        <f>HYPERLINK("https://leetcode.com/problems/subarrays-with-k-different-integers/", "LeetCode Practice")</f>
        <v/>
      </c>
      <c r="H218" s="21">
        <f>HYPERLINK("https://www.youtube.com/results?search_query=takeUforward+Subarrays+with+K+Different+Integers", "YouTube Video")</f>
        <v/>
      </c>
    </row>
    <row r="219" ht="20" customHeight="1">
      <c r="A219" s="4" t="n">
        <v>215</v>
      </c>
      <c r="B219" s="4" t="inlineStr">
        <is>
          <t>Todo</t>
        </is>
      </c>
      <c r="C219" s="5" t="inlineStr">
        <is>
          <t>Step 10: Sliding Window</t>
        </is>
      </c>
      <c r="D219" s="5" t="inlineStr">
        <is>
          <t>Hard Problems</t>
        </is>
      </c>
      <c r="E219" s="5" t="inlineStr">
        <is>
          <t>Minimum Window Substring</t>
        </is>
      </c>
      <c r="F219" s="18" t="inlineStr">
        <is>
          <t>Hard</t>
        </is>
      </c>
      <c r="G219" s="13">
        <f>HYPERLINK("https://leetcode.com/problems/minimum-window-substring/", "LeetCode Practice")</f>
        <v/>
      </c>
      <c r="H219" s="20">
        <f>HYPERLINK("https://www.youtube.com/results?search_query=takeUforward+Minimum+Window+Substring", "YouTube Video")</f>
        <v/>
      </c>
    </row>
    <row r="220" ht="20" customHeight="1">
      <c r="A220" s="7" t="n">
        <v>216</v>
      </c>
      <c r="B220" s="7" t="inlineStr">
        <is>
          <t>Todo</t>
        </is>
      </c>
      <c r="C220" s="8" t="inlineStr">
        <is>
          <t>Step 10: Sliding Window</t>
        </is>
      </c>
      <c r="D220" s="8" t="inlineStr">
        <is>
          <t>Hard Problems</t>
        </is>
      </c>
      <c r="E220" s="8" t="inlineStr">
        <is>
          <t>Minimum Window Subsequence</t>
        </is>
      </c>
      <c r="F220" s="19" t="inlineStr">
        <is>
          <t>Hard</t>
        </is>
      </c>
      <c r="G220" s="15">
        <f>HYPERLINK("https://leetcode.com/problems/minimum-window-subsequence/", "LeetCode Practice")</f>
        <v/>
      </c>
      <c r="H220" s="21">
        <f>HYPERLINK("https://www.youtube.com/results?search_query=takeUforward+Minimum+Window+Subsequence", "YouTube Video")</f>
        <v/>
      </c>
    </row>
    <row r="221" ht="20" customHeight="1">
      <c r="A221" s="4" t="n">
        <v>217</v>
      </c>
      <c r="B221" s="4" t="inlineStr">
        <is>
          <t>Todo</t>
        </is>
      </c>
      <c r="C221" s="5" t="inlineStr">
        <is>
          <t>Step 11: Heaps</t>
        </is>
      </c>
      <c r="D221" s="5" t="inlineStr">
        <is>
          <t>Learning</t>
        </is>
      </c>
      <c r="E221" s="5" t="inlineStr">
        <is>
          <t>Introduction to Priority Queues and Binary Heaps</t>
        </is>
      </c>
      <c r="F221" s="17" t="inlineStr">
        <is>
          <t>Medium</t>
        </is>
      </c>
      <c r="G221" s="13">
        <f>HYPERLINK("https://leetcode.com/problems/kth-largest-element-in-an-array/", "LeetCode Practice")</f>
        <v/>
      </c>
      <c r="H221" s="20">
        <f>HYPERLINK("https://www.youtube.com/results?search_query=takeUforward+Introduction+to+Priority+Queues+and+Binary+Heaps", "YouTube Video")</f>
        <v/>
      </c>
    </row>
    <row r="222" ht="20" customHeight="1">
      <c r="A222" s="7" t="n">
        <v>218</v>
      </c>
      <c r="B222" s="7" t="inlineStr">
        <is>
          <t>Todo</t>
        </is>
      </c>
      <c r="C222" s="8" t="inlineStr">
        <is>
          <t>Step 11: Heaps</t>
        </is>
      </c>
      <c r="D222" s="8" t="inlineStr">
        <is>
          <t>Learning</t>
        </is>
      </c>
      <c r="E222" s="8" t="inlineStr">
        <is>
          <t>Min Heap and Max Heap Implementation</t>
        </is>
      </c>
      <c r="F222" s="14" t="inlineStr">
        <is>
          <t>Medium</t>
        </is>
      </c>
      <c r="G222" s="15">
        <f>HYPERLINK("https://leetcode.com/problems/design-twitter/", "LeetCode Practice")</f>
        <v/>
      </c>
      <c r="H222" s="21">
        <f>HYPERLINK("https://www.youtube.com/results?search_query=takeUforward+Min+Heap+and+Max+Heap+Implementation", "YouTube Video")</f>
        <v/>
      </c>
    </row>
    <row r="223" ht="20" customHeight="1">
      <c r="A223" s="4" t="n">
        <v>219</v>
      </c>
      <c r="B223" s="4" t="inlineStr">
        <is>
          <t>Todo</t>
        </is>
      </c>
      <c r="C223" s="5" t="inlineStr">
        <is>
          <t>Step 11: Heaps</t>
        </is>
      </c>
      <c r="D223" s="5" t="inlineStr">
        <is>
          <t>Learning</t>
        </is>
      </c>
      <c r="E223" s="5" t="inlineStr">
        <is>
          <t>Check if an array represents a min-heap or not</t>
        </is>
      </c>
      <c r="F223" s="12" t="inlineStr">
        <is>
          <t>Easy</t>
        </is>
      </c>
      <c r="G223" s="13">
        <f>HYPERLINK("https://leetcode.com/problems/last-stone-weight/", "LeetCode Practice")</f>
        <v/>
      </c>
      <c r="H223" s="20">
        <f>HYPERLINK("https://www.youtube.com/results?search_query=takeUforward+Check+if+an+array+represents+a+min-heap+or+not", "YouTube Video")</f>
        <v/>
      </c>
    </row>
    <row r="224" ht="20" customHeight="1">
      <c r="A224" s="7" t="n">
        <v>220</v>
      </c>
      <c r="B224" s="7" t="inlineStr">
        <is>
          <t>Todo</t>
        </is>
      </c>
      <c r="C224" s="8" t="inlineStr">
        <is>
          <t>Step 11: Heaps</t>
        </is>
      </c>
      <c r="D224" s="8" t="inlineStr">
        <is>
          <t>Learning</t>
        </is>
      </c>
      <c r="E224" s="8" t="inlineStr">
        <is>
          <t>Convert Min Heap to Max Heap</t>
        </is>
      </c>
      <c r="F224" s="14" t="inlineStr">
        <is>
          <t>Medium</t>
        </is>
      </c>
      <c r="G224" s="15">
        <f>HYPERLINK("https://leetcode.com/problems/kth-largest-element-in-an-array/", "LeetCode Practice")</f>
        <v/>
      </c>
      <c r="H224" s="21">
        <f>HYPERLINK("https://www.youtube.com/results?search_query=takeUforward+Convert+Min+Heap+to+Max+Heap", "YouTube Video")</f>
        <v/>
      </c>
    </row>
    <row r="225" ht="20" customHeight="1">
      <c r="A225" s="4" t="n">
        <v>221</v>
      </c>
      <c r="B225" s="4" t="inlineStr">
        <is>
          <t>Todo</t>
        </is>
      </c>
      <c r="C225" s="5" t="inlineStr">
        <is>
          <t>Step 11: Heaps</t>
        </is>
      </c>
      <c r="D225" s="5" t="inlineStr">
        <is>
          <t>Medium Problems</t>
        </is>
      </c>
      <c r="E225" s="5" t="inlineStr">
        <is>
          <t>Kth Largest Element in an Array</t>
        </is>
      </c>
      <c r="F225" s="17" t="inlineStr">
        <is>
          <t>Medium</t>
        </is>
      </c>
      <c r="G225" s="13">
        <f>HYPERLINK("https://leetcode.com/problems/kth-largest-element-in-an-array/", "LeetCode Practice")</f>
        <v/>
      </c>
      <c r="H225" s="20">
        <f>HYPERLINK("https://www.youtube.com/results?search_query=takeUforward+Kth+Largest+Element+in+an+Array", "YouTube Video")</f>
        <v/>
      </c>
    </row>
    <row r="226" ht="20" customHeight="1">
      <c r="A226" s="7" t="n">
        <v>222</v>
      </c>
      <c r="B226" s="7" t="inlineStr">
        <is>
          <t>Todo</t>
        </is>
      </c>
      <c r="C226" s="8" t="inlineStr">
        <is>
          <t>Step 11: Heaps</t>
        </is>
      </c>
      <c r="D226" s="8" t="inlineStr">
        <is>
          <t>Medium Problems</t>
        </is>
      </c>
      <c r="E226" s="8" t="inlineStr">
        <is>
          <t>Kth Smallest Element in an Array</t>
        </is>
      </c>
      <c r="F226" s="14" t="inlineStr">
        <is>
          <t>Medium</t>
        </is>
      </c>
      <c r="G226" s="15">
        <f>HYPERLINK("https://leetcode.com/problems/kth-largest-element-in-an-array/", "LeetCode Practice")</f>
        <v/>
      </c>
      <c r="H226" s="21">
        <f>HYPERLINK("https://www.youtube.com/results?search_query=takeUforward+Kth+Smallest+Element+in+an+Array", "YouTube Video")</f>
        <v/>
      </c>
    </row>
    <row r="227" ht="20" customHeight="1">
      <c r="A227" s="4" t="n">
        <v>223</v>
      </c>
      <c r="B227" s="4" t="inlineStr">
        <is>
          <t>Todo</t>
        </is>
      </c>
      <c r="C227" s="5" t="inlineStr">
        <is>
          <t>Step 11: Heaps</t>
        </is>
      </c>
      <c r="D227" s="5" t="inlineStr">
        <is>
          <t>Medium Problems</t>
        </is>
      </c>
      <c r="E227" s="5" t="inlineStr">
        <is>
          <t>Sort K Sorted Array (Nearly Sorted Array)</t>
        </is>
      </c>
      <c r="F227" s="17" t="inlineStr">
        <is>
          <t>Medium</t>
        </is>
      </c>
      <c r="G227" s="13">
        <f>HYPERLINK("https://leetcode.com/problems/sort-an-array/", "LeetCode Practice")</f>
        <v/>
      </c>
      <c r="H227" s="20">
        <f>HYPERLINK("https://www.youtube.com/results?search_query=takeUforward+Sort+K+Sorted+Array+%28Nearly+Sorted+Array%29", "YouTube Video")</f>
        <v/>
      </c>
    </row>
    <row r="228" ht="20" customHeight="1">
      <c r="A228" s="7" t="n">
        <v>224</v>
      </c>
      <c r="B228" s="7" t="inlineStr">
        <is>
          <t>Todo</t>
        </is>
      </c>
      <c r="C228" s="8" t="inlineStr">
        <is>
          <t>Step 11: Heaps</t>
        </is>
      </c>
      <c r="D228" s="8" t="inlineStr">
        <is>
          <t>Medium Problems</t>
        </is>
      </c>
      <c r="E228" s="8" t="inlineStr">
        <is>
          <t>Merge M Sorted Lists</t>
        </is>
      </c>
      <c r="F228" s="19" t="inlineStr">
        <is>
          <t>Hard</t>
        </is>
      </c>
      <c r="G228" s="15">
        <f>HYPERLINK("https://leetcode.com/problems/merge-k-sorted-lists/", "LeetCode Practice")</f>
        <v/>
      </c>
      <c r="H228" s="21">
        <f>HYPERLINK("https://www.youtube.com/results?search_query=takeUforward+Merge+M+Sorted+Lists", "YouTube Video")</f>
        <v/>
      </c>
    </row>
    <row r="229" ht="20" customHeight="1">
      <c r="A229" s="4" t="n">
        <v>225</v>
      </c>
      <c r="B229" s="4" t="inlineStr">
        <is>
          <t>Todo</t>
        </is>
      </c>
      <c r="C229" s="5" t="inlineStr">
        <is>
          <t>Step 11: Heaps</t>
        </is>
      </c>
      <c r="D229" s="5" t="inlineStr">
        <is>
          <t>Medium Problems</t>
        </is>
      </c>
      <c r="E229" s="5" t="inlineStr">
        <is>
          <t>Replace each element by its rank in the array</t>
        </is>
      </c>
      <c r="F229" s="12" t="inlineStr">
        <is>
          <t>Easy</t>
        </is>
      </c>
      <c r="G229" s="13">
        <f>HYPERLINK("https://leetcode.com/problems/rank-transform-of-an-array/", "LeetCode Practice")</f>
        <v/>
      </c>
      <c r="H229" s="20">
        <f>HYPERLINK("https://www.youtube.com/results?search_query=takeUforward+Replace+each+element+by+its+rank+in+the+array", "YouTube Video")</f>
        <v/>
      </c>
    </row>
    <row r="230" ht="20" customHeight="1">
      <c r="A230" s="7" t="n">
        <v>226</v>
      </c>
      <c r="B230" s="7" t="inlineStr">
        <is>
          <t>Todo</t>
        </is>
      </c>
      <c r="C230" s="8" t="inlineStr">
        <is>
          <t>Step 11: Heaps</t>
        </is>
      </c>
      <c r="D230" s="8" t="inlineStr">
        <is>
          <t>Medium Problems</t>
        </is>
      </c>
      <c r="E230" s="8" t="inlineStr">
        <is>
          <t>Task Scheduler</t>
        </is>
      </c>
      <c r="F230" s="14" t="inlineStr">
        <is>
          <t>Medium</t>
        </is>
      </c>
      <c r="G230" s="15">
        <f>HYPERLINK("https://leetcode.com/problems/task-scheduler/", "LeetCode Practice")</f>
        <v/>
      </c>
      <c r="H230" s="21">
        <f>HYPERLINK("https://www.youtube.com/results?search_query=takeUforward+Task+Scheduler", "YouTube Video")</f>
        <v/>
      </c>
    </row>
    <row r="231" ht="20" customHeight="1">
      <c r="A231" s="4" t="n">
        <v>227</v>
      </c>
      <c r="B231" s="4" t="inlineStr">
        <is>
          <t>Todo</t>
        </is>
      </c>
      <c r="C231" s="5" t="inlineStr">
        <is>
          <t>Step 11: Heaps</t>
        </is>
      </c>
      <c r="D231" s="5" t="inlineStr">
        <is>
          <t>Medium Problems</t>
        </is>
      </c>
      <c r="E231" s="5" t="inlineStr">
        <is>
          <t>Hands of Straights</t>
        </is>
      </c>
      <c r="F231" s="17" t="inlineStr">
        <is>
          <t>Medium</t>
        </is>
      </c>
      <c r="G231" s="13">
        <f>HYPERLINK("https://leetcode.com/problems/hand-of-straights/", "LeetCode Practice")</f>
        <v/>
      </c>
      <c r="H231" s="20">
        <f>HYPERLINK("https://www.youtube.com/results?search_query=takeUforward+Hands+of+Straights", "YouTube Video")</f>
        <v/>
      </c>
    </row>
    <row r="232" ht="20" customHeight="1">
      <c r="A232" s="7" t="n">
        <v>228</v>
      </c>
      <c r="B232" s="7" t="inlineStr">
        <is>
          <t>Todo</t>
        </is>
      </c>
      <c r="C232" s="8" t="inlineStr">
        <is>
          <t>Step 11: Heaps</t>
        </is>
      </c>
      <c r="D232" s="8" t="inlineStr">
        <is>
          <t>Hard Problems</t>
        </is>
      </c>
      <c r="E232" s="8" t="inlineStr">
        <is>
          <t>Design Twitter</t>
        </is>
      </c>
      <c r="F232" s="14" t="inlineStr">
        <is>
          <t>Medium</t>
        </is>
      </c>
      <c r="G232" s="15">
        <f>HYPERLINK("https://leetcode.com/problems/design-twitter/", "LeetCode Practice")</f>
        <v/>
      </c>
      <c r="H232" s="21">
        <f>HYPERLINK("https://www.youtube.com/results?search_query=takeUforward+Design+Twitter", "YouTube Video")</f>
        <v/>
      </c>
    </row>
    <row r="233" ht="20" customHeight="1">
      <c r="A233" s="4" t="n">
        <v>229</v>
      </c>
      <c r="B233" s="4" t="inlineStr">
        <is>
          <t>Todo</t>
        </is>
      </c>
      <c r="C233" s="5" t="inlineStr">
        <is>
          <t>Step 11: Heaps</t>
        </is>
      </c>
      <c r="D233" s="5" t="inlineStr">
        <is>
          <t>Hard Problems</t>
        </is>
      </c>
      <c r="E233" s="5" t="inlineStr">
        <is>
          <t>Connect `n` ropes with minimum cost</t>
        </is>
      </c>
      <c r="F233" s="17" t="inlineStr">
        <is>
          <t>Medium</t>
        </is>
      </c>
      <c r="G233" s="13">
        <f>HYPERLINK("https://leetcode.com/problems/minimum-cost-to-connect-sticks/", "LeetCode Practice")</f>
        <v/>
      </c>
      <c r="H233" s="20">
        <f>HYPERLINK("https://www.youtube.com/results?search_query=takeUforward+Connect+%60n%60+ropes+with+minimum+cost", "YouTube Video")</f>
        <v/>
      </c>
    </row>
    <row r="234" ht="20" customHeight="1">
      <c r="A234" s="7" t="n">
        <v>230</v>
      </c>
      <c r="B234" s="7" t="inlineStr">
        <is>
          <t>Todo</t>
        </is>
      </c>
      <c r="C234" s="8" t="inlineStr">
        <is>
          <t>Step 11: Heaps</t>
        </is>
      </c>
      <c r="D234" s="8" t="inlineStr">
        <is>
          <t>Hard Problems</t>
        </is>
      </c>
      <c r="E234" s="8" t="inlineStr">
        <is>
          <t>Kth Largest Element in a Stream of Numbers</t>
        </is>
      </c>
      <c r="F234" s="16" t="inlineStr">
        <is>
          <t>Easy</t>
        </is>
      </c>
      <c r="G234" s="15">
        <f>HYPERLINK("https://leetcode.com/problems/kth-largest-element-in-a-stream/", "LeetCode Practice")</f>
        <v/>
      </c>
      <c r="H234" s="21">
        <f>HYPERLINK("https://www.youtube.com/results?search_query=takeUforward+Kth+Largest+Element+in+a+Stream+of+Numbers", "YouTube Video")</f>
        <v/>
      </c>
    </row>
    <row r="235" ht="20" customHeight="1">
      <c r="A235" s="4" t="n">
        <v>231</v>
      </c>
      <c r="B235" s="4" t="inlineStr">
        <is>
          <t>Todo</t>
        </is>
      </c>
      <c r="C235" s="5" t="inlineStr">
        <is>
          <t>Step 11: Heaps</t>
        </is>
      </c>
      <c r="D235" s="5" t="inlineStr">
        <is>
          <t>Hard Problems</t>
        </is>
      </c>
      <c r="E235" s="5" t="inlineStr">
        <is>
          <t>Find Median from Data Stream</t>
        </is>
      </c>
      <c r="F235" s="18" t="inlineStr">
        <is>
          <t>Hard</t>
        </is>
      </c>
      <c r="G235" s="13">
        <f>HYPERLINK("https://leetcode.com/problems/find-median-from-data-stream/", "LeetCode Practice")</f>
        <v/>
      </c>
      <c r="H235" s="20">
        <f>HYPERLINK("https://www.youtube.com/results?search_query=takeUforward+Find+Median+from+Data+Stream", "YouTube Video")</f>
        <v/>
      </c>
    </row>
    <row r="236" ht="20" customHeight="1">
      <c r="A236" s="7" t="n">
        <v>232</v>
      </c>
      <c r="B236" s="7" t="inlineStr">
        <is>
          <t>Todo</t>
        </is>
      </c>
      <c r="C236" s="8" t="inlineStr">
        <is>
          <t>Step 11: Heaps</t>
        </is>
      </c>
      <c r="D236" s="8" t="inlineStr">
        <is>
          <t>Hard Problems</t>
        </is>
      </c>
      <c r="E236" s="8" t="inlineStr">
        <is>
          <t>K Most Frequent Elements</t>
        </is>
      </c>
      <c r="F236" s="14" t="inlineStr">
        <is>
          <t>Medium</t>
        </is>
      </c>
      <c r="G236" s="15">
        <f>HYPERLINK("https://leetcode.com/problems/top-k-frequent-elements/", "LeetCode Practice")</f>
        <v/>
      </c>
      <c r="H236" s="21">
        <f>HYPERLINK("https://www.youtube.com/results?search_query=takeUforward+K+Most+Frequent+Elements", "YouTube Video")</f>
        <v/>
      </c>
    </row>
    <row r="237" ht="20" customHeight="1">
      <c r="A237" s="4" t="n">
        <v>233</v>
      </c>
      <c r="B237" s="4" t="inlineStr">
        <is>
          <t>Todo</t>
        </is>
      </c>
      <c r="C237" s="5" t="inlineStr">
        <is>
          <t>Step 12: Greedy Algorithms</t>
        </is>
      </c>
      <c r="D237" s="5" t="inlineStr">
        <is>
          <t>Easy Problems</t>
        </is>
      </c>
      <c r="E237" s="5" t="inlineStr">
        <is>
          <t>Assign Cookies</t>
        </is>
      </c>
      <c r="F237" s="12" t="inlineStr">
        <is>
          <t>Easy</t>
        </is>
      </c>
      <c r="G237" s="13">
        <f>HYPERLINK("https://leetcode.com/problems/assign-cookies/", "LeetCode Practice")</f>
        <v/>
      </c>
      <c r="H237" s="20">
        <f>HYPERLINK("https://www.youtube.com/results?search_query=takeUforward+Assign+Cookies", "YouTube Video")</f>
        <v/>
      </c>
    </row>
    <row r="238" ht="20" customHeight="1">
      <c r="A238" s="7" t="n">
        <v>234</v>
      </c>
      <c r="B238" s="7" t="inlineStr">
        <is>
          <t>Todo</t>
        </is>
      </c>
      <c r="C238" s="8" t="inlineStr">
        <is>
          <t>Step 12: Greedy Algorithms</t>
        </is>
      </c>
      <c r="D238" s="8" t="inlineStr">
        <is>
          <t>Easy Problems</t>
        </is>
      </c>
      <c r="E238" s="8" t="inlineStr">
        <is>
          <t>Fractional Knapsack Problem</t>
        </is>
      </c>
      <c r="F238" s="14" t="inlineStr">
        <is>
          <t>Medium</t>
        </is>
      </c>
      <c r="G238" s="15">
        <f>HYPERLINK("https://leetcode.com/problems/maximum-units-on-a-truck/", "LeetCode Practice")</f>
        <v/>
      </c>
      <c r="H238" s="21">
        <f>HYPERLINK("https://www.youtube.com/results?search_query=takeUforward+Fractional+Knapsack+Problem", "YouTube Video")</f>
        <v/>
      </c>
    </row>
    <row r="239" ht="20" customHeight="1">
      <c r="A239" s="4" t="n">
        <v>235</v>
      </c>
      <c r="B239" s="4" t="inlineStr">
        <is>
          <t>Todo</t>
        </is>
      </c>
      <c r="C239" s="5" t="inlineStr">
        <is>
          <t>Step 12: Greedy Algorithms</t>
        </is>
      </c>
      <c r="D239" s="5" t="inlineStr">
        <is>
          <t>Easy Problems</t>
        </is>
      </c>
      <c r="E239" s="5" t="inlineStr">
        <is>
          <t>Find minimum number of coins</t>
        </is>
      </c>
      <c r="F239" s="17" t="inlineStr">
        <is>
          <t>Medium</t>
        </is>
      </c>
      <c r="G239" s="13">
        <f>HYPERLINK("https://leetcode.com/problems/coin-change/", "LeetCode Practice")</f>
        <v/>
      </c>
      <c r="H239" s="20">
        <f>HYPERLINK("https://www.youtube.com/results?search_query=takeUforward+Find+minimum+number+of+coins", "YouTube Video")</f>
        <v/>
      </c>
    </row>
    <row r="240" ht="20" customHeight="1">
      <c r="A240" s="7" t="n">
        <v>236</v>
      </c>
      <c r="B240" s="7" t="inlineStr">
        <is>
          <t>Todo</t>
        </is>
      </c>
      <c r="C240" s="8" t="inlineStr">
        <is>
          <t>Step 12: Greedy Algorithms</t>
        </is>
      </c>
      <c r="D240" s="8" t="inlineStr">
        <is>
          <t>Easy Problems</t>
        </is>
      </c>
      <c r="E240" s="8" t="inlineStr">
        <is>
          <t>Lemonade Change</t>
        </is>
      </c>
      <c r="F240" s="16" t="inlineStr">
        <is>
          <t>Easy</t>
        </is>
      </c>
      <c r="G240" s="15">
        <f>HYPERLINK("https://leetcode.com/problems/lemonade-change/", "LeetCode Practice")</f>
        <v/>
      </c>
      <c r="H240" s="21">
        <f>HYPERLINK("https://www.youtube.com/results?search_query=takeUforward+Lemonade+Change", "YouTube Video")</f>
        <v/>
      </c>
    </row>
    <row r="241" ht="20" customHeight="1">
      <c r="A241" s="4" t="n">
        <v>237</v>
      </c>
      <c r="B241" s="4" t="inlineStr">
        <is>
          <t>Todo</t>
        </is>
      </c>
      <c r="C241" s="5" t="inlineStr">
        <is>
          <t>Step 12: Greedy Algorithms</t>
        </is>
      </c>
      <c r="D241" s="5" t="inlineStr">
        <is>
          <t>Easy Problems</t>
        </is>
      </c>
      <c r="E241" s="5" t="inlineStr">
        <is>
          <t>Valid Parenthesis String</t>
        </is>
      </c>
      <c r="F241" s="17" t="inlineStr">
        <is>
          <t>Medium</t>
        </is>
      </c>
      <c r="G241" s="13">
        <f>HYPERLINK("https://leetcode.com/problems/valid-parenthesis-string/", "LeetCode Practice")</f>
        <v/>
      </c>
      <c r="H241" s="20">
        <f>HYPERLINK("https://www.youtube.com/results?search_query=takeUforward+Valid+Parenthesis+String", "YouTube Video")</f>
        <v/>
      </c>
    </row>
    <row r="242" ht="20" customHeight="1">
      <c r="A242" s="7" t="n">
        <v>238</v>
      </c>
      <c r="B242" s="7" t="inlineStr">
        <is>
          <t>Todo</t>
        </is>
      </c>
      <c r="C242" s="8" t="inlineStr">
        <is>
          <t>Step 12: Greedy Algorithms</t>
        </is>
      </c>
      <c r="D242" s="8" t="inlineStr">
        <is>
          <t>Medium/Hard</t>
        </is>
      </c>
      <c r="E242" s="8" t="inlineStr">
        <is>
          <t>N meetings in one room</t>
        </is>
      </c>
      <c r="F242" s="14" t="inlineStr">
        <is>
          <t>Medium</t>
        </is>
      </c>
      <c r="G242" s="15">
        <f>HYPERLINK("https://leetcode.com/problems/meeting-rooms/", "LeetCode Practice")</f>
        <v/>
      </c>
      <c r="H242" s="21">
        <f>HYPERLINK("https://www.youtube.com/results?search_query=takeUforward+N+meetings+in+one+room", "YouTube Video")</f>
        <v/>
      </c>
    </row>
    <row r="243" ht="20" customHeight="1">
      <c r="A243" s="4" t="n">
        <v>239</v>
      </c>
      <c r="B243" s="4" t="inlineStr">
        <is>
          <t>Todo</t>
        </is>
      </c>
      <c r="C243" s="5" t="inlineStr">
        <is>
          <t>Step 12: Greedy Algorithms</t>
        </is>
      </c>
      <c r="D243" s="5" t="inlineStr">
        <is>
          <t>Medium/Hard</t>
        </is>
      </c>
      <c r="E243" s="5" t="inlineStr">
        <is>
          <t>Minimum platforms required for a railway</t>
        </is>
      </c>
      <c r="F243" s="17" t="inlineStr">
        <is>
          <t>Medium</t>
        </is>
      </c>
      <c r="G243" s="13">
        <f>HYPERLINK("https://leetcode.com/problems/meeting-rooms-ii/", "LeetCode Practice")</f>
        <v/>
      </c>
      <c r="H243" s="20">
        <f>HYPERLINK("https://www.youtube.com/results?search_query=takeUforward+Minimum+platforms+required+for+a+railway", "YouTube Video")</f>
        <v/>
      </c>
    </row>
    <row r="244" ht="20" customHeight="1">
      <c r="A244" s="7" t="n">
        <v>240</v>
      </c>
      <c r="B244" s="7" t="inlineStr">
        <is>
          <t>Todo</t>
        </is>
      </c>
      <c r="C244" s="8" t="inlineStr">
        <is>
          <t>Step 12: Greedy Algorithms</t>
        </is>
      </c>
      <c r="D244" s="8" t="inlineStr">
        <is>
          <t>Medium/Hard</t>
        </is>
      </c>
      <c r="E244" s="8" t="inlineStr">
        <is>
          <t>Job Sequencing Problem</t>
        </is>
      </c>
      <c r="F244" s="14" t="inlineStr">
        <is>
          <t>Medium</t>
        </is>
      </c>
      <c r="G244" s="15">
        <f>HYPERLINK("https://leetcode.com/problems/course-schedule-iii/", "LeetCode Practice")</f>
        <v/>
      </c>
      <c r="H244" s="21">
        <f>HYPERLINK("https://www.youtube.com/results?search_query=takeUforward+Job+Sequencing+Problem", "YouTube Video")</f>
        <v/>
      </c>
    </row>
    <row r="245" ht="20" customHeight="1">
      <c r="A245" s="4" t="n">
        <v>241</v>
      </c>
      <c r="B245" s="4" t="inlineStr">
        <is>
          <t>Todo</t>
        </is>
      </c>
      <c r="C245" s="5" t="inlineStr">
        <is>
          <t>Step 12: Greedy Algorithms</t>
        </is>
      </c>
      <c r="D245" s="5" t="inlineStr">
        <is>
          <t>Medium/Hard</t>
        </is>
      </c>
      <c r="E245" s="5" t="inlineStr">
        <is>
          <t>Candy</t>
        </is>
      </c>
      <c r="F245" s="18" t="inlineStr">
        <is>
          <t>Hard</t>
        </is>
      </c>
      <c r="G245" s="13">
        <f>HYPERLINK("https://leetcode.com/problems/candy/", "LeetCode Practice")</f>
        <v/>
      </c>
      <c r="H245" s="20">
        <f>HYPERLINK("https://www.youtube.com/results?search_query=takeUforward+Candy", "YouTube Video")</f>
        <v/>
      </c>
    </row>
    <row r="246" ht="20" customHeight="1">
      <c r="A246" s="7" t="n">
        <v>242</v>
      </c>
      <c r="B246" s="7" t="inlineStr">
        <is>
          <t>Todo</t>
        </is>
      </c>
      <c r="C246" s="8" t="inlineStr">
        <is>
          <t>Step 12: Greedy Algorithms</t>
        </is>
      </c>
      <c r="D246" s="8" t="inlineStr">
        <is>
          <t>Medium/Hard</t>
        </is>
      </c>
      <c r="E246" s="8" t="inlineStr">
        <is>
          <t>Non-overlapping Intervals</t>
        </is>
      </c>
      <c r="F246" s="14" t="inlineStr">
        <is>
          <t>Medium</t>
        </is>
      </c>
      <c r="G246" s="15">
        <f>HYPERLINK("https://leetcode.com/problems/non-overlapping-intervals/", "LeetCode Practice")</f>
        <v/>
      </c>
      <c r="H246" s="21">
        <f>HYPERLINK("https://www.youtube.com/results?search_query=takeUforward+Non-overlapping+Intervals", "YouTube Video")</f>
        <v/>
      </c>
    </row>
    <row r="247" ht="20" customHeight="1">
      <c r="A247" s="4" t="n">
        <v>243</v>
      </c>
      <c r="B247" s="4" t="inlineStr">
        <is>
          <t>Todo</t>
        </is>
      </c>
      <c r="C247" s="5" t="inlineStr">
        <is>
          <t>Step 12: Greedy Algorithms</t>
        </is>
      </c>
      <c r="D247" s="5" t="inlineStr">
        <is>
          <t>Medium/Hard</t>
        </is>
      </c>
      <c r="E247" s="5" t="inlineStr">
        <is>
          <t>Insert Interval</t>
        </is>
      </c>
      <c r="F247" s="17" t="inlineStr">
        <is>
          <t>Medium</t>
        </is>
      </c>
      <c r="G247" s="13">
        <f>HYPERLINK("https://leetcode.com/problems/insert-interval/", "LeetCode Practice")</f>
        <v/>
      </c>
      <c r="H247" s="20">
        <f>HYPERLINK("https://www.youtube.com/results?search_query=takeUforward+Insert+Interval", "YouTube Video")</f>
        <v/>
      </c>
    </row>
    <row r="248" ht="20" customHeight="1">
      <c r="A248" s="7" t="n">
        <v>244</v>
      </c>
      <c r="B248" s="7" t="inlineStr">
        <is>
          <t>Todo</t>
        </is>
      </c>
      <c r="C248" s="8" t="inlineStr">
        <is>
          <t>Step 12: Greedy Algorithms</t>
        </is>
      </c>
      <c r="D248" s="8" t="inlineStr">
        <is>
          <t>Medium/Hard</t>
        </is>
      </c>
      <c r="E248" s="8" t="inlineStr">
        <is>
          <t>Jump Game</t>
        </is>
      </c>
      <c r="F248" s="14" t="inlineStr">
        <is>
          <t>Medium</t>
        </is>
      </c>
      <c r="G248" s="15">
        <f>HYPERLINK("https://leetcode.com/problems/jump-game/", "LeetCode Practice")</f>
        <v/>
      </c>
      <c r="H248" s="21">
        <f>HYPERLINK("https://www.youtube.com/results?search_query=takeUforward+Jump+Game", "YouTube Video")</f>
        <v/>
      </c>
    </row>
    <row r="249" ht="20" customHeight="1">
      <c r="A249" s="4" t="n">
        <v>245</v>
      </c>
      <c r="B249" s="4" t="inlineStr">
        <is>
          <t>Todo</t>
        </is>
      </c>
      <c r="C249" s="5" t="inlineStr">
        <is>
          <t>Step 12: Greedy Algorithms</t>
        </is>
      </c>
      <c r="D249" s="5" t="inlineStr">
        <is>
          <t>Medium/Hard</t>
        </is>
      </c>
      <c r="E249" s="5" t="inlineStr">
        <is>
          <t>Jump Game II</t>
        </is>
      </c>
      <c r="F249" s="17" t="inlineStr">
        <is>
          <t>Medium</t>
        </is>
      </c>
      <c r="G249" s="13">
        <f>HYPERLINK("https://leetcode.com/problems/jump-game-ii/", "LeetCode Practice")</f>
        <v/>
      </c>
      <c r="H249" s="20">
        <f>HYPERLINK("https://www.youtube.com/results?search_query=takeUforward+Jump+Game+II", "YouTube Video")</f>
        <v/>
      </c>
    </row>
    <row r="250" ht="20" customHeight="1">
      <c r="A250" s="7" t="n">
        <v>246</v>
      </c>
      <c r="B250" s="7" t="inlineStr">
        <is>
          <t>Todo</t>
        </is>
      </c>
      <c r="C250" s="8" t="inlineStr">
        <is>
          <t>Step 13: Binary Trees</t>
        </is>
      </c>
      <c r="D250" s="8" t="inlineStr">
        <is>
          <t>Traversals</t>
        </is>
      </c>
      <c r="E250" s="8" t="inlineStr">
        <is>
          <t>Introduction to Trees</t>
        </is>
      </c>
      <c r="F250" s="16" t="inlineStr">
        <is>
          <t>Easy</t>
        </is>
      </c>
      <c r="G250" s="15">
        <f>HYPERLINK("https://leetcode.com/problems/binary-tree-preorder-traversal/", "LeetCode Practice")</f>
        <v/>
      </c>
      <c r="H250" s="21">
        <f>HYPERLINK("https://www.youtube.com/results?search_query=takeUforward+Introduction+to+Trees", "YouTube Video")</f>
        <v/>
      </c>
    </row>
    <row r="251" ht="20" customHeight="1">
      <c r="A251" s="4" t="n">
        <v>247</v>
      </c>
      <c r="B251" s="4" t="inlineStr">
        <is>
          <t>Todo</t>
        </is>
      </c>
      <c r="C251" s="5" t="inlineStr">
        <is>
          <t>Step 13: Binary Trees</t>
        </is>
      </c>
      <c r="D251" s="5" t="inlineStr">
        <is>
          <t>Traversals</t>
        </is>
      </c>
      <c r="E251" s="5" t="inlineStr">
        <is>
          <t>Binary Tree Traversals in Binary Tree</t>
        </is>
      </c>
      <c r="F251" s="12" t="inlineStr">
        <is>
          <t>Easy</t>
        </is>
      </c>
      <c r="G251" s="13">
        <f>HYPERLINK("https://leetcode.com/problems/binary-tree-inorder-traversal/", "LeetCode Practice")</f>
        <v/>
      </c>
      <c r="H251" s="20">
        <f>HYPERLINK("https://www.youtube.com/results?search_query=takeUforward+Binary+Tree+Traversals+in+Binary+Tree", "YouTube Video")</f>
        <v/>
      </c>
    </row>
    <row r="252" ht="20" customHeight="1">
      <c r="A252" s="7" t="n">
        <v>248</v>
      </c>
      <c r="B252" s="7" t="inlineStr">
        <is>
          <t>Todo</t>
        </is>
      </c>
      <c r="C252" s="8" t="inlineStr">
        <is>
          <t>Step 13: Binary Trees</t>
        </is>
      </c>
      <c r="D252" s="8" t="inlineStr">
        <is>
          <t>Traversals</t>
        </is>
      </c>
      <c r="E252" s="8" t="inlineStr">
        <is>
          <t>Preorder Traversal of Binary Tree</t>
        </is>
      </c>
      <c r="F252" s="16" t="inlineStr">
        <is>
          <t>Easy</t>
        </is>
      </c>
      <c r="G252" s="15">
        <f>HYPERLINK("https://leetcode.com/problems/binary-tree-preorder-traversal/", "LeetCode Practice")</f>
        <v/>
      </c>
      <c r="H252" s="21">
        <f>HYPERLINK("https://www.youtube.com/results?search_query=takeUforward+Preorder+Traversal+of+Binary+Tree", "YouTube Video")</f>
        <v/>
      </c>
    </row>
    <row r="253" ht="20" customHeight="1">
      <c r="A253" s="4" t="n">
        <v>249</v>
      </c>
      <c r="B253" s="4" t="inlineStr">
        <is>
          <t>Todo</t>
        </is>
      </c>
      <c r="C253" s="5" t="inlineStr">
        <is>
          <t>Step 13: Binary Trees</t>
        </is>
      </c>
      <c r="D253" s="5" t="inlineStr">
        <is>
          <t>Traversals</t>
        </is>
      </c>
      <c r="E253" s="5" t="inlineStr">
        <is>
          <t>Inorder Traversal of Binary Tree</t>
        </is>
      </c>
      <c r="F253" s="12" t="inlineStr">
        <is>
          <t>Easy</t>
        </is>
      </c>
      <c r="G253" s="13">
        <f>HYPERLINK("https://leetcode.com/problems/binary-tree-inorder-traversal/", "LeetCode Practice")</f>
        <v/>
      </c>
      <c r="H253" s="20">
        <f>HYPERLINK("https://www.youtube.com/results?search_query=takeUforward+Inorder+Traversal+of+Binary+Tree", "YouTube Video")</f>
        <v/>
      </c>
    </row>
    <row r="254" ht="20" customHeight="1">
      <c r="A254" s="7" t="n">
        <v>250</v>
      </c>
      <c r="B254" s="7" t="inlineStr">
        <is>
          <t>Todo</t>
        </is>
      </c>
      <c r="C254" s="8" t="inlineStr">
        <is>
          <t>Step 13: Binary Trees</t>
        </is>
      </c>
      <c r="D254" s="8" t="inlineStr">
        <is>
          <t>Traversals</t>
        </is>
      </c>
      <c r="E254" s="8" t="inlineStr">
        <is>
          <t>Postorder Traversal of Binary Tree</t>
        </is>
      </c>
      <c r="F254" s="16" t="inlineStr">
        <is>
          <t>Easy</t>
        </is>
      </c>
      <c r="G254" s="15">
        <f>HYPERLINK("https://leetcode.com/problems/binary-tree-postorder-traversal/", "LeetCode Practice")</f>
        <v/>
      </c>
      <c r="H254" s="21">
        <f>HYPERLINK("https://www.youtube.com/results?search_query=takeUforward+Postorder+Traversal+of+Binary+Tree", "YouTube Video")</f>
        <v/>
      </c>
    </row>
    <row r="255" ht="20" customHeight="1">
      <c r="A255" s="4" t="n">
        <v>251</v>
      </c>
      <c r="B255" s="4" t="inlineStr">
        <is>
          <t>Todo</t>
        </is>
      </c>
      <c r="C255" s="5" t="inlineStr">
        <is>
          <t>Step 13: Binary Trees</t>
        </is>
      </c>
      <c r="D255" s="5" t="inlineStr">
        <is>
          <t>Traversals</t>
        </is>
      </c>
      <c r="E255" s="5" t="inlineStr">
        <is>
          <t>Level order Traversal / Spiral</t>
        </is>
      </c>
      <c r="F255" s="17" t="inlineStr">
        <is>
          <t>Medium</t>
        </is>
      </c>
      <c r="G255" s="13">
        <f>HYPERLINK("https://leetcode.com/problems/binary-tree-level-order-traversal/", "LeetCode Practice")</f>
        <v/>
      </c>
      <c r="H255" s="20">
        <f>HYPERLINK("https://www.youtube.com/results?search_query=takeUforward+Level+order+Traversal+++Spiral", "YouTube Video")</f>
        <v/>
      </c>
    </row>
    <row r="256" ht="20" customHeight="1">
      <c r="A256" s="7" t="n">
        <v>252</v>
      </c>
      <c r="B256" s="7" t="inlineStr">
        <is>
          <t>Todo</t>
        </is>
      </c>
      <c r="C256" s="8" t="inlineStr">
        <is>
          <t>Step 13: Binary Trees</t>
        </is>
      </c>
      <c r="D256" s="8" t="inlineStr">
        <is>
          <t>Traversals</t>
        </is>
      </c>
      <c r="E256" s="8" t="inlineStr">
        <is>
          <t>Iterative Preorder Traversal of Binary Tree</t>
        </is>
      </c>
      <c r="F256" s="14" t="inlineStr">
        <is>
          <t>Medium</t>
        </is>
      </c>
      <c r="G256" s="15">
        <f>HYPERLINK("https://leetcode.com/problems/binary-tree-preorder-traversal/", "LeetCode Practice")</f>
        <v/>
      </c>
      <c r="H256" s="21">
        <f>HYPERLINK("https://www.youtube.com/results?search_query=takeUforward+Iterative+Preorder+Traversal+of+Binary+Tree", "YouTube Video")</f>
        <v/>
      </c>
    </row>
    <row r="257" ht="20" customHeight="1">
      <c r="A257" s="4" t="n">
        <v>253</v>
      </c>
      <c r="B257" s="4" t="inlineStr">
        <is>
          <t>Todo</t>
        </is>
      </c>
      <c r="C257" s="5" t="inlineStr">
        <is>
          <t>Step 13: Binary Trees</t>
        </is>
      </c>
      <c r="D257" s="5" t="inlineStr">
        <is>
          <t>Traversals</t>
        </is>
      </c>
      <c r="E257" s="5" t="inlineStr">
        <is>
          <t>Iterative Inorder Traversal of Binary Tree</t>
        </is>
      </c>
      <c r="F257" s="17" t="inlineStr">
        <is>
          <t>Medium</t>
        </is>
      </c>
      <c r="G257" s="13">
        <f>HYPERLINK("https://leetcode.com/problems/binary-tree-inorder-traversal/", "LeetCode Practice")</f>
        <v/>
      </c>
      <c r="H257" s="20">
        <f>HYPERLINK("https://www.youtube.com/results?search_query=takeUforward+Iterative+Inorder+Traversal+of+Binary+Tree", "YouTube Video")</f>
        <v/>
      </c>
    </row>
    <row r="258" ht="20" customHeight="1">
      <c r="A258" s="7" t="n">
        <v>254</v>
      </c>
      <c r="B258" s="7" t="inlineStr">
        <is>
          <t>Todo</t>
        </is>
      </c>
      <c r="C258" s="8" t="inlineStr">
        <is>
          <t>Step 13: Binary Trees</t>
        </is>
      </c>
      <c r="D258" s="8" t="inlineStr">
        <is>
          <t>Traversals</t>
        </is>
      </c>
      <c r="E258" s="8" t="inlineStr">
        <is>
          <t>Postorder Traversal using 2 Stacks</t>
        </is>
      </c>
      <c r="F258" s="14" t="inlineStr">
        <is>
          <t>Medium</t>
        </is>
      </c>
      <c r="G258" s="15">
        <f>HYPERLINK("https://leetcode.com/problems/binary-tree-postorder-traversal/", "LeetCode Practice")</f>
        <v/>
      </c>
      <c r="H258" s="21">
        <f>HYPERLINK("https://www.youtube.com/results?search_query=takeUforward+Postorder+Traversal+using+2+Stacks", "YouTube Video")</f>
        <v/>
      </c>
    </row>
    <row r="259" ht="20" customHeight="1">
      <c r="A259" s="4" t="n">
        <v>255</v>
      </c>
      <c r="B259" s="4" t="inlineStr">
        <is>
          <t>Todo</t>
        </is>
      </c>
      <c r="C259" s="5" t="inlineStr">
        <is>
          <t>Step 13: Binary Trees</t>
        </is>
      </c>
      <c r="D259" s="5" t="inlineStr">
        <is>
          <t>Traversals</t>
        </is>
      </c>
      <c r="E259" s="5" t="inlineStr">
        <is>
          <t>Postorder Traversal using 1 Stack</t>
        </is>
      </c>
      <c r="F259" s="18" t="inlineStr">
        <is>
          <t>Hard</t>
        </is>
      </c>
      <c r="G259" s="13">
        <f>HYPERLINK("https://leetcode.com/problems/binary-tree-postorder-traversal/", "LeetCode Practice")</f>
        <v/>
      </c>
      <c r="H259" s="20">
        <f>HYPERLINK("https://www.youtube.com/results?search_query=takeUforward+Postorder+Traversal+using+1+Stack", "YouTube Video")</f>
        <v/>
      </c>
    </row>
    <row r="260" ht="20" customHeight="1">
      <c r="A260" s="7" t="n">
        <v>256</v>
      </c>
      <c r="B260" s="7" t="inlineStr">
        <is>
          <t>Todo</t>
        </is>
      </c>
      <c r="C260" s="8" t="inlineStr">
        <is>
          <t>Step 13: Binary Trees</t>
        </is>
      </c>
      <c r="D260" s="8" t="inlineStr">
        <is>
          <t>Traversals</t>
        </is>
      </c>
      <c r="E260" s="8" t="inlineStr">
        <is>
          <t>Preorder, Inorder, and Postorder in one traversal</t>
        </is>
      </c>
      <c r="F260" s="14" t="inlineStr">
        <is>
          <t>Medium</t>
        </is>
      </c>
      <c r="G260" s="15">
        <f>HYPERLINK("https://leetcode.com/problems/binary-tree-inorder-traversal/", "LeetCode Practice")</f>
        <v/>
      </c>
      <c r="H260" s="21">
        <f>HYPERLINK("https://www.youtube.com/results?search_query=takeUforward+Preorder%2C+Inorder%2C+and+Postorder+in+one+traversal", "YouTube Video")</f>
        <v/>
      </c>
    </row>
    <row r="261" ht="20" customHeight="1">
      <c r="A261" s="4" t="n">
        <v>257</v>
      </c>
      <c r="B261" s="4" t="inlineStr">
        <is>
          <t>Todo</t>
        </is>
      </c>
      <c r="C261" s="5" t="inlineStr">
        <is>
          <t>Step 13: Binary Trees</t>
        </is>
      </c>
      <c r="D261" s="5" t="inlineStr">
        <is>
          <t>Medium Problems</t>
        </is>
      </c>
      <c r="E261" s="5" t="inlineStr">
        <is>
          <t>Height of Binary Tree</t>
        </is>
      </c>
      <c r="F261" s="12" t="inlineStr">
        <is>
          <t>Easy</t>
        </is>
      </c>
      <c r="G261" s="13">
        <f>HYPERLINK("https://leetcode.com/problems/maximum-depth-of-binary-tree/", "LeetCode Practice")</f>
        <v/>
      </c>
      <c r="H261" s="20">
        <f>HYPERLINK("https://www.youtube.com/results?search_query=takeUforward+Height+of+Binary+Tree", "YouTube Video")</f>
        <v/>
      </c>
    </row>
    <row r="262" ht="20" customHeight="1">
      <c r="A262" s="7" t="n">
        <v>258</v>
      </c>
      <c r="B262" s="7" t="inlineStr">
        <is>
          <t>Todo</t>
        </is>
      </c>
      <c r="C262" s="8" t="inlineStr">
        <is>
          <t>Step 13: Binary Trees</t>
        </is>
      </c>
      <c r="D262" s="8" t="inlineStr">
        <is>
          <t>Medium Problems</t>
        </is>
      </c>
      <c r="E262" s="8" t="inlineStr">
        <is>
          <t>Check if Binary Tree is Balanced</t>
        </is>
      </c>
      <c r="F262" s="16" t="inlineStr">
        <is>
          <t>Easy</t>
        </is>
      </c>
      <c r="G262" s="15">
        <f>HYPERLINK("https://leetcode.com/problems/balanced-binary-tree/", "LeetCode Practice")</f>
        <v/>
      </c>
      <c r="H262" s="21">
        <f>HYPERLINK("https://www.youtube.com/results?search_query=takeUforward+Check+if+Binary+Tree+is+Balanced", "YouTube Video")</f>
        <v/>
      </c>
    </row>
    <row r="263" ht="20" customHeight="1">
      <c r="A263" s="4" t="n">
        <v>259</v>
      </c>
      <c r="B263" s="4" t="inlineStr">
        <is>
          <t>Todo</t>
        </is>
      </c>
      <c r="C263" s="5" t="inlineStr">
        <is>
          <t>Step 13: Binary Trees</t>
        </is>
      </c>
      <c r="D263" s="5" t="inlineStr">
        <is>
          <t>Medium Problems</t>
        </is>
      </c>
      <c r="E263" s="5" t="inlineStr">
        <is>
          <t>Diameter of Binary Tree</t>
        </is>
      </c>
      <c r="F263" s="12" t="inlineStr">
        <is>
          <t>Easy</t>
        </is>
      </c>
      <c r="G263" s="13">
        <f>HYPERLINK("https://leetcode.com/problems/diameter-of-binary-tree/", "LeetCode Practice")</f>
        <v/>
      </c>
      <c r="H263" s="20">
        <f>HYPERLINK("https://www.youtube.com/results?search_query=takeUforward+Diameter+of+Binary+Tree", "YouTube Video")</f>
        <v/>
      </c>
    </row>
    <row r="264" ht="20" customHeight="1">
      <c r="A264" s="7" t="n">
        <v>260</v>
      </c>
      <c r="B264" s="7" t="inlineStr">
        <is>
          <t>Todo</t>
        </is>
      </c>
      <c r="C264" s="8" t="inlineStr">
        <is>
          <t>Step 13: Binary Trees</t>
        </is>
      </c>
      <c r="D264" s="8" t="inlineStr">
        <is>
          <t>Medium Problems</t>
        </is>
      </c>
      <c r="E264" s="8" t="inlineStr">
        <is>
          <t>Maximum Path Sum in Binary Tree</t>
        </is>
      </c>
      <c r="F264" s="19" t="inlineStr">
        <is>
          <t>Hard</t>
        </is>
      </c>
      <c r="G264" s="15">
        <f>HYPERLINK("https://leetcode.com/problems/binary-tree-maximum-path-sum/", "LeetCode Practice")</f>
        <v/>
      </c>
      <c r="H264" s="21">
        <f>HYPERLINK("https://www.youtube.com/results?search_query=takeUforward+Maximum+Path+Sum+in+Binary+Tree", "YouTube Video")</f>
        <v/>
      </c>
    </row>
    <row r="265" ht="20" customHeight="1">
      <c r="A265" s="4" t="n">
        <v>261</v>
      </c>
      <c r="B265" s="4" t="inlineStr">
        <is>
          <t>Todo</t>
        </is>
      </c>
      <c r="C265" s="5" t="inlineStr">
        <is>
          <t>Step 13: Binary Trees</t>
        </is>
      </c>
      <c r="D265" s="5" t="inlineStr">
        <is>
          <t>Medium Problems</t>
        </is>
      </c>
      <c r="E265" s="5" t="inlineStr">
        <is>
          <t>Check if two trees are identical or not</t>
        </is>
      </c>
      <c r="F265" s="12" t="inlineStr">
        <is>
          <t>Easy</t>
        </is>
      </c>
      <c r="G265" s="13">
        <f>HYPERLINK("https://leetcode.com/problems/same-tree/", "LeetCode Practice")</f>
        <v/>
      </c>
      <c r="H265" s="20">
        <f>HYPERLINK("https://www.youtube.com/results?search_query=takeUforward+Check+if+two+trees+are+identical+or+not", "YouTube Video")</f>
        <v/>
      </c>
    </row>
    <row r="266" ht="20" customHeight="1">
      <c r="A266" s="7" t="n">
        <v>262</v>
      </c>
      <c r="B266" s="7" t="inlineStr">
        <is>
          <t>Todo</t>
        </is>
      </c>
      <c r="C266" s="8" t="inlineStr">
        <is>
          <t>Step 13: Binary Trees</t>
        </is>
      </c>
      <c r="D266" s="8" t="inlineStr">
        <is>
          <t>Medium Problems</t>
        </is>
      </c>
      <c r="E266" s="8" t="inlineStr">
        <is>
          <t>Zig-Zag or Spiral Traversal in Binary Tree</t>
        </is>
      </c>
      <c r="F266" s="14" t="inlineStr">
        <is>
          <t>Medium</t>
        </is>
      </c>
      <c r="G266" s="15">
        <f>HYPERLINK("https://leetcode.com/problems/binary-tree-zigzag-level-order-traversal/", "LeetCode Practice")</f>
        <v/>
      </c>
      <c r="H266" s="21">
        <f>HYPERLINK("https://www.youtube.com/results?search_query=takeUforward+Zig-Zag+or+Spiral+Traversal+in+Binary+Tree", "YouTube Video")</f>
        <v/>
      </c>
    </row>
    <row r="267" ht="20" customHeight="1">
      <c r="A267" s="4" t="n">
        <v>263</v>
      </c>
      <c r="B267" s="4" t="inlineStr">
        <is>
          <t>Todo</t>
        </is>
      </c>
      <c r="C267" s="5" t="inlineStr">
        <is>
          <t>Step 13: Binary Trees</t>
        </is>
      </c>
      <c r="D267" s="5" t="inlineStr">
        <is>
          <t>Medium Problems</t>
        </is>
      </c>
      <c r="E267" s="5" t="inlineStr">
        <is>
          <t>Boundary Traversal of Binary Tree</t>
        </is>
      </c>
      <c r="F267" s="17" t="inlineStr">
        <is>
          <t>Medium</t>
        </is>
      </c>
      <c r="G267" s="13">
        <f>HYPERLINK("https://leetcode.com/problems/boundary-of-binary-tree/", "LeetCode Practice")</f>
        <v/>
      </c>
      <c r="H267" s="20">
        <f>HYPERLINK("https://www.youtube.com/results?search_query=takeUforward+Boundary+Traversal+of+Binary+Tree", "YouTube Video")</f>
        <v/>
      </c>
    </row>
    <row r="268" ht="20" customHeight="1">
      <c r="A268" s="7" t="n">
        <v>264</v>
      </c>
      <c r="B268" s="7" t="inlineStr">
        <is>
          <t>Todo</t>
        </is>
      </c>
      <c r="C268" s="8" t="inlineStr">
        <is>
          <t>Step 13: Binary Trees</t>
        </is>
      </c>
      <c r="D268" s="8" t="inlineStr">
        <is>
          <t>Medium Problems</t>
        </is>
      </c>
      <c r="E268" s="8" t="inlineStr">
        <is>
          <t>Vertical Order Traversal of Binary Tree</t>
        </is>
      </c>
      <c r="F268" s="19" t="inlineStr">
        <is>
          <t>Hard</t>
        </is>
      </c>
      <c r="G268" s="15">
        <f>HYPERLINK("https://leetcode.com/problems/vertical-order-traversal-of-a-binary-tree/", "LeetCode Practice")</f>
        <v/>
      </c>
      <c r="H268" s="21">
        <f>HYPERLINK("https://www.youtube.com/results?search_query=takeUforward+Vertical+Order+Traversal+of+Binary+Tree", "YouTube Video")</f>
        <v/>
      </c>
    </row>
    <row r="269" ht="20" customHeight="1">
      <c r="A269" s="4" t="n">
        <v>265</v>
      </c>
      <c r="B269" s="4" t="inlineStr">
        <is>
          <t>Todo</t>
        </is>
      </c>
      <c r="C269" s="5" t="inlineStr">
        <is>
          <t>Step 13: Binary Trees</t>
        </is>
      </c>
      <c r="D269" s="5" t="inlineStr">
        <is>
          <t>Medium Problems</t>
        </is>
      </c>
      <c r="E269" s="5" t="inlineStr">
        <is>
          <t>Top View of Binary Tree</t>
        </is>
      </c>
      <c r="F269" s="17" t="inlineStr">
        <is>
          <t>Medium</t>
        </is>
      </c>
      <c r="G269" s="13">
        <f>HYPERLINK("https://leetcode.com/problems/binary-tree-right-side-view/", "LeetCode Practice")</f>
        <v/>
      </c>
      <c r="H269" s="20">
        <f>HYPERLINK("https://www.youtube.com/results?search_query=takeUforward+Top+View+of+Binary+Tree", "YouTube Video")</f>
        <v/>
      </c>
    </row>
    <row r="270" ht="20" customHeight="1">
      <c r="A270" s="7" t="n">
        <v>266</v>
      </c>
      <c r="B270" s="7" t="inlineStr">
        <is>
          <t>Todo</t>
        </is>
      </c>
      <c r="C270" s="8" t="inlineStr">
        <is>
          <t>Step 13: Binary Trees</t>
        </is>
      </c>
      <c r="D270" s="8" t="inlineStr">
        <is>
          <t>Medium Problems</t>
        </is>
      </c>
      <c r="E270" s="8" t="inlineStr">
        <is>
          <t>Bottom View of Binary Tree</t>
        </is>
      </c>
      <c r="F270" s="14" t="inlineStr">
        <is>
          <t>Medium</t>
        </is>
      </c>
      <c r="G270" s="15">
        <f>HYPERLINK("https://leetcode.com/problems/binary-tree-right-side-view/", "LeetCode Practice")</f>
        <v/>
      </c>
      <c r="H270" s="21">
        <f>HYPERLINK("https://www.youtube.com/results?search_query=takeUforward+Bottom+View+of+Binary+Tree", "YouTube Video")</f>
        <v/>
      </c>
    </row>
    <row r="271" ht="20" customHeight="1">
      <c r="A271" s="4" t="n">
        <v>267</v>
      </c>
      <c r="B271" s="4" t="inlineStr">
        <is>
          <t>Todo</t>
        </is>
      </c>
      <c r="C271" s="5" t="inlineStr">
        <is>
          <t>Step 13: Binary Trees</t>
        </is>
      </c>
      <c r="D271" s="5" t="inlineStr">
        <is>
          <t>Medium Problems</t>
        </is>
      </c>
      <c r="E271" s="5" t="inlineStr">
        <is>
          <t>Right / Left View of Binary Tree</t>
        </is>
      </c>
      <c r="F271" s="17" t="inlineStr">
        <is>
          <t>Medium</t>
        </is>
      </c>
      <c r="G271" s="13">
        <f>HYPERLINK("https://leetcode.com/problems/binary-tree-right-side-view/", "LeetCode Practice")</f>
        <v/>
      </c>
      <c r="H271" s="20">
        <f>HYPERLINK("https://www.youtube.com/results?search_query=takeUforward+Right+++Left+View+of+Binary+Tree", "YouTube Video")</f>
        <v/>
      </c>
    </row>
    <row r="272" ht="20" customHeight="1">
      <c r="A272" s="7" t="n">
        <v>268</v>
      </c>
      <c r="B272" s="7" t="inlineStr">
        <is>
          <t>Todo</t>
        </is>
      </c>
      <c r="C272" s="8" t="inlineStr">
        <is>
          <t>Step 13: Binary Trees</t>
        </is>
      </c>
      <c r="D272" s="8" t="inlineStr">
        <is>
          <t>Medium Problems</t>
        </is>
      </c>
      <c r="E272" s="8" t="inlineStr">
        <is>
          <t>Symmetric Binary Tree</t>
        </is>
      </c>
      <c r="F272" s="16" t="inlineStr">
        <is>
          <t>Easy</t>
        </is>
      </c>
      <c r="G272" s="15">
        <f>HYPERLINK("https://leetcode.com/problems/symmetric-tree/", "LeetCode Practice")</f>
        <v/>
      </c>
      <c r="H272" s="21">
        <f>HYPERLINK("https://www.youtube.com/results?search_query=takeUforward+Symmetric+Binary+Tree", "YouTube Video")</f>
        <v/>
      </c>
    </row>
    <row r="273" ht="20" customHeight="1">
      <c r="A273" s="4" t="n">
        <v>269</v>
      </c>
      <c r="B273" s="4" t="inlineStr">
        <is>
          <t>Todo</t>
        </is>
      </c>
      <c r="C273" s="5" t="inlineStr">
        <is>
          <t>Step 13: Binary Trees</t>
        </is>
      </c>
      <c r="D273" s="5" t="inlineStr">
        <is>
          <t>Hard Problems</t>
        </is>
      </c>
      <c r="E273" s="5" t="inlineStr">
        <is>
          <t>Root to Node Path in Binary Tree</t>
        </is>
      </c>
      <c r="F273" s="17" t="inlineStr">
        <is>
          <t>Medium</t>
        </is>
      </c>
      <c r="G273" s="13">
        <f>HYPERLINK("https://leetcode.com/problems/binary-tree-paths/", "LeetCode Practice")</f>
        <v/>
      </c>
      <c r="H273" s="20">
        <f>HYPERLINK("https://www.youtube.com/results?search_query=takeUforward+Root+to+Node+Path+in+Binary+Tree", "YouTube Video")</f>
        <v/>
      </c>
    </row>
    <row r="274" ht="20" customHeight="1">
      <c r="A274" s="7" t="n">
        <v>270</v>
      </c>
      <c r="B274" s="7" t="inlineStr">
        <is>
          <t>Todo</t>
        </is>
      </c>
      <c r="C274" s="8" t="inlineStr">
        <is>
          <t>Step 13: Binary Trees</t>
        </is>
      </c>
      <c r="D274" s="8" t="inlineStr">
        <is>
          <t>Hard Problems</t>
        </is>
      </c>
      <c r="E274" s="8" t="inlineStr">
        <is>
          <t>LCA in Binary Tree</t>
        </is>
      </c>
      <c r="F274" s="14" t="inlineStr">
        <is>
          <t>Medium</t>
        </is>
      </c>
      <c r="G274" s="15">
        <f>HYPERLINK("https://leetcode.com/problems/lowest-common-ancestor-of-a-binary-tree/", "LeetCode Practice")</f>
        <v/>
      </c>
      <c r="H274" s="21">
        <f>HYPERLINK("https://www.youtube.com/results?search_query=takeUforward+LCA+in+Binary+Tree", "YouTube Video")</f>
        <v/>
      </c>
    </row>
    <row r="275" ht="20" customHeight="1">
      <c r="A275" s="4" t="n">
        <v>271</v>
      </c>
      <c r="B275" s="4" t="inlineStr">
        <is>
          <t>Todo</t>
        </is>
      </c>
      <c r="C275" s="5" t="inlineStr">
        <is>
          <t>Step 13: Binary Trees</t>
        </is>
      </c>
      <c r="D275" s="5" t="inlineStr">
        <is>
          <t>Hard Problems</t>
        </is>
      </c>
      <c r="E275" s="5" t="inlineStr">
        <is>
          <t>Maximum Width of Binary Tree</t>
        </is>
      </c>
      <c r="F275" s="17" t="inlineStr">
        <is>
          <t>Medium</t>
        </is>
      </c>
      <c r="G275" s="13">
        <f>HYPERLINK("https://leetcode.com/problems/maximum-width-of-binary-tree/", "LeetCode Practice")</f>
        <v/>
      </c>
      <c r="H275" s="20">
        <f>HYPERLINK("https://www.youtube.com/results?search_query=takeUforward+Maximum+Width+of+Binary+Tree", "YouTube Video")</f>
        <v/>
      </c>
    </row>
    <row r="276" ht="20" customHeight="1">
      <c r="A276" s="7" t="n">
        <v>272</v>
      </c>
      <c r="B276" s="7" t="inlineStr">
        <is>
          <t>Todo</t>
        </is>
      </c>
      <c r="C276" s="8" t="inlineStr">
        <is>
          <t>Step 13: Binary Trees</t>
        </is>
      </c>
      <c r="D276" s="8" t="inlineStr">
        <is>
          <t>Hard Problems</t>
        </is>
      </c>
      <c r="E276" s="8" t="inlineStr">
        <is>
          <t>Check for Children Sum Property</t>
        </is>
      </c>
      <c r="F276" s="14" t="inlineStr">
        <is>
          <t>Medium</t>
        </is>
      </c>
      <c r="G276" s="15">
        <f>HYPERLINK("https://leetcode.com/problems/root-equals-sum-of-children/", "LeetCode Practice")</f>
        <v/>
      </c>
      <c r="H276" s="21">
        <f>HYPERLINK("https://www.youtube.com/results?search_query=takeUforward+Check+for+Children+Sum+Property", "YouTube Video")</f>
        <v/>
      </c>
    </row>
    <row r="277" ht="20" customHeight="1">
      <c r="A277" s="4" t="n">
        <v>273</v>
      </c>
      <c r="B277" s="4" t="inlineStr">
        <is>
          <t>Todo</t>
        </is>
      </c>
      <c r="C277" s="5" t="inlineStr">
        <is>
          <t>Step 13: Binary Trees</t>
        </is>
      </c>
      <c r="D277" s="5" t="inlineStr">
        <is>
          <t>Hard Problems</t>
        </is>
      </c>
      <c r="E277" s="5" t="inlineStr">
        <is>
          <t>Nodes at distance K in binary tree</t>
        </is>
      </c>
      <c r="F277" s="17" t="inlineStr">
        <is>
          <t>Medium</t>
        </is>
      </c>
      <c r="G277" s="13">
        <f>HYPERLINK("https://leetcode.com/problems/all-nodes-distance-k-in-binary-tree/", "LeetCode Practice")</f>
        <v/>
      </c>
      <c r="H277" s="20">
        <f>HYPERLINK("https://www.youtube.com/results?search_query=takeUforward+Nodes+at+distance+K+in+binary+tree", "YouTube Video")</f>
        <v/>
      </c>
    </row>
    <row r="278" ht="20" customHeight="1">
      <c r="A278" s="7" t="n">
        <v>274</v>
      </c>
      <c r="B278" s="7" t="inlineStr">
        <is>
          <t>Todo</t>
        </is>
      </c>
      <c r="C278" s="8" t="inlineStr">
        <is>
          <t>Step 13: Binary Trees</t>
        </is>
      </c>
      <c r="D278" s="8" t="inlineStr">
        <is>
          <t>Hard Problems</t>
        </is>
      </c>
      <c r="E278" s="8" t="inlineStr">
        <is>
          <t>Minimum time taken to BURN the Binary Tree</t>
        </is>
      </c>
      <c r="F278" s="19" t="inlineStr">
        <is>
          <t>Hard</t>
        </is>
      </c>
      <c r="G278" s="15">
        <f>HYPERLINK("https://leetcode.com/problems/amount-of-time-for-binary-tree-to-be-infected/", "LeetCode Practice")</f>
        <v/>
      </c>
      <c r="H278" s="21">
        <f>HYPERLINK("https://www.youtube.com/results?search_query=takeUforward+Minimum+time+taken+to+BURN+the+Binary+Tree", "YouTube Video")</f>
        <v/>
      </c>
    </row>
    <row r="279" ht="20" customHeight="1">
      <c r="A279" s="4" t="n">
        <v>275</v>
      </c>
      <c r="B279" s="4" t="inlineStr">
        <is>
          <t>Todo</t>
        </is>
      </c>
      <c r="C279" s="5" t="inlineStr">
        <is>
          <t>Step 13: Binary Trees</t>
        </is>
      </c>
      <c r="D279" s="5" t="inlineStr">
        <is>
          <t>Hard Problems</t>
        </is>
      </c>
      <c r="E279" s="5" t="inlineStr">
        <is>
          <t>Count total Nodes in a COMPLETE Binary Tree</t>
        </is>
      </c>
      <c r="F279" s="17" t="inlineStr">
        <is>
          <t>Medium</t>
        </is>
      </c>
      <c r="G279" s="13">
        <f>HYPERLINK("https://leetcode.com/problems/count-complete-tree-nodes/", "LeetCode Practice")</f>
        <v/>
      </c>
      <c r="H279" s="20">
        <f>HYPERLINK("https://www.youtube.com/results?search_query=takeUforward+Count+total+Nodes+in+a+COMPLETE+Binary+Tree", "YouTube Video")</f>
        <v/>
      </c>
    </row>
    <row r="280" ht="20" customHeight="1">
      <c r="A280" s="7" t="n">
        <v>276</v>
      </c>
      <c r="B280" s="7" t="inlineStr">
        <is>
          <t>Todo</t>
        </is>
      </c>
      <c r="C280" s="8" t="inlineStr">
        <is>
          <t>Step 13: Binary Trees</t>
        </is>
      </c>
      <c r="D280" s="8" t="inlineStr">
        <is>
          <t>Hard Problems</t>
        </is>
      </c>
      <c r="E280" s="8" t="inlineStr">
        <is>
          <t>Requirements to construct a unique binary tree</t>
        </is>
      </c>
      <c r="F280" s="14" t="inlineStr">
        <is>
          <t>Medium</t>
        </is>
      </c>
      <c r="G280" s="15">
        <f>HYPERLINK("https://leetcode.com/problems/construct-binary-tree-from-preorder-and-inorder-traversal/", "LeetCode Practice")</f>
        <v/>
      </c>
      <c r="H280" s="21">
        <f>HYPERLINK("https://www.youtube.com/results?search_query=takeUforward+Requirements+to+construct+a+unique+binary+tree", "YouTube Video")</f>
        <v/>
      </c>
    </row>
    <row r="281" ht="20" customHeight="1">
      <c r="A281" s="4" t="n">
        <v>277</v>
      </c>
      <c r="B281" s="4" t="inlineStr">
        <is>
          <t>Todo</t>
        </is>
      </c>
      <c r="C281" s="5" t="inlineStr">
        <is>
          <t>Step 13: Binary Trees</t>
        </is>
      </c>
      <c r="D281" s="5" t="inlineStr">
        <is>
          <t>Hard Problems</t>
        </is>
      </c>
      <c r="E281" s="5" t="inlineStr">
        <is>
          <t>Construct Binary Tree from Preorder and Inorder Traversal</t>
        </is>
      </c>
      <c r="F281" s="17" t="inlineStr">
        <is>
          <t>Medium</t>
        </is>
      </c>
      <c r="G281" s="13">
        <f>HYPERLINK("https://leetcode.com/problems/construct-binary-tree-from-preorder-and-inorder-traversal/", "LeetCode Practice")</f>
        <v/>
      </c>
      <c r="H281" s="20">
        <f>HYPERLINK("https://www.youtube.com/results?search_query=takeUforward+Construct+Binary+Tree+from+Preorder+and+Inorder+Traversal", "YouTube Video")</f>
        <v/>
      </c>
    </row>
    <row r="282" ht="20" customHeight="1">
      <c r="A282" s="7" t="n">
        <v>278</v>
      </c>
      <c r="B282" s="7" t="inlineStr">
        <is>
          <t>Todo</t>
        </is>
      </c>
      <c r="C282" s="8" t="inlineStr">
        <is>
          <t>Step 13: Binary Trees</t>
        </is>
      </c>
      <c r="D282" s="8" t="inlineStr">
        <is>
          <t>Hard Problems</t>
        </is>
      </c>
      <c r="E282" s="8" t="inlineStr">
        <is>
          <t>Construct Binary Tree from Inorder and Postorder Traversal</t>
        </is>
      </c>
      <c r="F282" s="14" t="inlineStr">
        <is>
          <t>Medium</t>
        </is>
      </c>
      <c r="G282" s="15">
        <f>HYPERLINK("https://leetcode.com/problems/construct-binary-tree-from-inorder-and-postorder-traversal/", "LeetCode Practice")</f>
        <v/>
      </c>
      <c r="H282" s="21">
        <f>HYPERLINK("https://www.youtube.com/results?search_query=takeUforward+Construct+Binary+Tree+from+Inorder+and+Postorder+Traversal", "YouTube Video")</f>
        <v/>
      </c>
    </row>
    <row r="283" ht="20" customHeight="1">
      <c r="A283" s="4" t="n">
        <v>279</v>
      </c>
      <c r="B283" s="4" t="inlineStr">
        <is>
          <t>Todo</t>
        </is>
      </c>
      <c r="C283" s="5" t="inlineStr">
        <is>
          <t>Step 13: Binary Trees</t>
        </is>
      </c>
      <c r="D283" s="5" t="inlineStr">
        <is>
          <t>Hard Problems</t>
        </is>
      </c>
      <c r="E283" s="5" t="inlineStr">
        <is>
          <t>Serialize and De-serialize Binary Tree</t>
        </is>
      </c>
      <c r="F283" s="18" t="inlineStr">
        <is>
          <t>Hard</t>
        </is>
      </c>
      <c r="G283" s="13">
        <f>HYPERLINK("https://leetcode.com/problems/serialize-and-deserialize-binary-tree/", "LeetCode Practice")</f>
        <v/>
      </c>
      <c r="H283" s="20">
        <f>HYPERLINK("https://www.youtube.com/results?search_query=takeUforward+Serialize+and+De-serialize+Binary+Tree", "YouTube Video")</f>
        <v/>
      </c>
    </row>
    <row r="284" ht="20" customHeight="1">
      <c r="A284" s="7" t="n">
        <v>280</v>
      </c>
      <c r="B284" s="7" t="inlineStr">
        <is>
          <t>Todo</t>
        </is>
      </c>
      <c r="C284" s="8" t="inlineStr">
        <is>
          <t>Step 13: Binary Trees</t>
        </is>
      </c>
      <c r="D284" s="8" t="inlineStr">
        <is>
          <t>Hard Problems</t>
        </is>
      </c>
      <c r="E284" s="8" t="inlineStr">
        <is>
          <t>Morris Preorder Traversal of a Binary Tree</t>
        </is>
      </c>
      <c r="F284" s="14" t="inlineStr">
        <is>
          <t>Medium</t>
        </is>
      </c>
      <c r="G284" s="15">
        <f>HYPERLINK("https://leetcode.com/problems/binary-tree-preorder-traversal/", "LeetCode Practice")</f>
        <v/>
      </c>
      <c r="H284" s="21">
        <f>HYPERLINK("https://www.youtube.com/results?search_query=takeUforward+Morris+Preorder+Traversal+of+a+Binary+Tree", "YouTube Video")</f>
        <v/>
      </c>
    </row>
    <row r="285" ht="20" customHeight="1">
      <c r="A285" s="4" t="n">
        <v>281</v>
      </c>
      <c r="B285" s="4" t="inlineStr">
        <is>
          <t>Todo</t>
        </is>
      </c>
      <c r="C285" s="5" t="inlineStr">
        <is>
          <t>Step 13: Binary Trees</t>
        </is>
      </c>
      <c r="D285" s="5" t="inlineStr">
        <is>
          <t>Hard Problems</t>
        </is>
      </c>
      <c r="E285" s="5" t="inlineStr">
        <is>
          <t>Morris Inorder Traversal of a Binary Tree</t>
        </is>
      </c>
      <c r="F285" s="17" t="inlineStr">
        <is>
          <t>Medium</t>
        </is>
      </c>
      <c r="G285" s="13">
        <f>HYPERLINK("https://leetcode.com/problems/binary-tree-inorder-traversal/", "LeetCode Practice")</f>
        <v/>
      </c>
      <c r="H285" s="20">
        <f>HYPERLINK("https://www.youtube.com/results?search_query=takeUforward+Morris+Inorder+Traversal+of+a+Binary+Tree", "YouTube Video")</f>
        <v/>
      </c>
    </row>
    <row r="286" ht="20" customHeight="1">
      <c r="A286" s="7" t="n">
        <v>282</v>
      </c>
      <c r="B286" s="7" t="inlineStr">
        <is>
          <t>Todo</t>
        </is>
      </c>
      <c r="C286" s="8" t="inlineStr">
        <is>
          <t>Step 13: Binary Trees</t>
        </is>
      </c>
      <c r="D286" s="8" t="inlineStr">
        <is>
          <t>Hard Problems</t>
        </is>
      </c>
      <c r="E286" s="8" t="inlineStr">
        <is>
          <t>Flatten Binary Tree to LinkedList</t>
        </is>
      </c>
      <c r="F286" s="14" t="inlineStr">
        <is>
          <t>Medium</t>
        </is>
      </c>
      <c r="G286" s="15">
        <f>HYPERLINK("https://leetcode.com/problems/flatten-binary-tree-to-linked-list/", "LeetCode Practice")</f>
        <v/>
      </c>
      <c r="H286" s="21">
        <f>HYPERLINK("https://www.youtube.com/results?search_query=takeUforward+Flatten+Binary+Tree+to+LinkedList", "YouTube Video")</f>
        <v/>
      </c>
    </row>
    <row r="287" ht="20" customHeight="1">
      <c r="A287" s="4" t="n">
        <v>283</v>
      </c>
      <c r="B287" s="4" t="inlineStr">
        <is>
          <t>Todo</t>
        </is>
      </c>
      <c r="C287" s="5" t="inlineStr">
        <is>
          <t>Step 14: BST</t>
        </is>
      </c>
      <c r="D287" s="5" t="inlineStr">
        <is>
          <t>Concepts</t>
        </is>
      </c>
      <c r="E287" s="5" t="inlineStr">
        <is>
          <t>Introduction to Binary Search Tree</t>
        </is>
      </c>
      <c r="F287" s="12" t="inlineStr">
        <is>
          <t>Easy</t>
        </is>
      </c>
      <c r="G287" s="13">
        <f>HYPERLINK("https://leetcode.com/problems/search-in-a-binary-search-tree/", "LeetCode Practice")</f>
        <v/>
      </c>
      <c r="H287" s="20">
        <f>HYPERLINK("https://www.youtube.com/results?search_query=takeUforward+Introduction+to+Binary+Search+Tree", "YouTube Video")</f>
        <v/>
      </c>
    </row>
    <row r="288" ht="20" customHeight="1">
      <c r="A288" s="7" t="n">
        <v>284</v>
      </c>
      <c r="B288" s="7" t="inlineStr">
        <is>
          <t>Todo</t>
        </is>
      </c>
      <c r="C288" s="8" t="inlineStr">
        <is>
          <t>Step 14: BST</t>
        </is>
      </c>
      <c r="D288" s="8" t="inlineStr">
        <is>
          <t>Concepts</t>
        </is>
      </c>
      <c r="E288" s="8" t="inlineStr">
        <is>
          <t>Search in a Binary Search Tree</t>
        </is>
      </c>
      <c r="F288" s="16" t="inlineStr">
        <is>
          <t>Easy</t>
        </is>
      </c>
      <c r="G288" s="15">
        <f>HYPERLINK("https://leetcode.com/problems/search-in-a-binary-search-tree/", "LeetCode Practice")</f>
        <v/>
      </c>
      <c r="H288" s="21">
        <f>HYPERLINK("https://www.youtube.com/results?search_query=takeUforward+Search+in+a+Binary+Search+Tree", "YouTube Video")</f>
        <v/>
      </c>
    </row>
    <row r="289" ht="20" customHeight="1">
      <c r="A289" s="4" t="n">
        <v>285</v>
      </c>
      <c r="B289" s="4" t="inlineStr">
        <is>
          <t>Todo</t>
        </is>
      </c>
      <c r="C289" s="5" t="inlineStr">
        <is>
          <t>Step 14: BST</t>
        </is>
      </c>
      <c r="D289" s="5" t="inlineStr">
        <is>
          <t>Concepts</t>
        </is>
      </c>
      <c r="E289" s="5" t="inlineStr">
        <is>
          <t>Find Min/Max in BST</t>
        </is>
      </c>
      <c r="F289" s="12" t="inlineStr">
        <is>
          <t>Easy</t>
        </is>
      </c>
      <c r="G289" s="13">
        <f>HYPERLINK("https://leetcode.com/problems/search-in-a-binary-search-tree/", "LeetCode Practice")</f>
        <v/>
      </c>
      <c r="H289" s="20">
        <f>HYPERLINK("https://www.youtube.com/results?search_query=takeUforward+Find+Min+Max+in+BST", "YouTube Video")</f>
        <v/>
      </c>
    </row>
    <row r="290" ht="20" customHeight="1">
      <c r="A290" s="7" t="n">
        <v>286</v>
      </c>
      <c r="B290" s="7" t="inlineStr">
        <is>
          <t>Todo</t>
        </is>
      </c>
      <c r="C290" s="8" t="inlineStr">
        <is>
          <t>Step 14: BST</t>
        </is>
      </c>
      <c r="D290" s="8" t="inlineStr">
        <is>
          <t>Concepts</t>
        </is>
      </c>
      <c r="E290" s="8" t="inlineStr">
        <is>
          <t>Ceil in a Binary Search Tree</t>
        </is>
      </c>
      <c r="F290" s="14" t="inlineStr">
        <is>
          <t>Medium</t>
        </is>
      </c>
      <c r="G290" s="15">
        <f>HYPERLINK("https://leetcode.com/problems/closest-binary-search-tree-value/", "LeetCode Practice")</f>
        <v/>
      </c>
      <c r="H290" s="21">
        <f>HYPERLINK("https://www.youtube.com/results?search_query=takeUforward+Ceil+in+a+Binary+Search+Tree", "YouTube Video")</f>
        <v/>
      </c>
    </row>
    <row r="291" ht="20" customHeight="1">
      <c r="A291" s="4" t="n">
        <v>287</v>
      </c>
      <c r="B291" s="4" t="inlineStr">
        <is>
          <t>Todo</t>
        </is>
      </c>
      <c r="C291" s="5" t="inlineStr">
        <is>
          <t>Step 14: BST</t>
        </is>
      </c>
      <c r="D291" s="5" t="inlineStr">
        <is>
          <t>Concepts</t>
        </is>
      </c>
      <c r="E291" s="5" t="inlineStr">
        <is>
          <t>Floor in a Binary Search Tree</t>
        </is>
      </c>
      <c r="F291" s="17" t="inlineStr">
        <is>
          <t>Medium</t>
        </is>
      </c>
      <c r="G291" s="13">
        <f>HYPERLINK("https://leetcode.com/problems/closest-binary-search-tree-value/", "LeetCode Practice")</f>
        <v/>
      </c>
      <c r="H291" s="20">
        <f>HYPERLINK("https://www.youtube.com/results?search_query=takeUforward+Floor+in+a+Binary+Search+Tree", "YouTube Video")</f>
        <v/>
      </c>
    </row>
    <row r="292" ht="20" customHeight="1">
      <c r="A292" s="7" t="n">
        <v>288</v>
      </c>
      <c r="B292" s="7" t="inlineStr">
        <is>
          <t>Todo</t>
        </is>
      </c>
      <c r="C292" s="8" t="inlineStr">
        <is>
          <t>Step 14: BST</t>
        </is>
      </c>
      <c r="D292" s="8" t="inlineStr">
        <is>
          <t>Concepts</t>
        </is>
      </c>
      <c r="E292" s="8" t="inlineStr">
        <is>
          <t>Insert a given Node in BST</t>
        </is>
      </c>
      <c r="F292" s="14" t="inlineStr">
        <is>
          <t>Medium</t>
        </is>
      </c>
      <c r="G292" s="15">
        <f>HYPERLINK("https://leetcode.com/problems/insert-into-a-binary-search-tree/", "LeetCode Practice")</f>
        <v/>
      </c>
      <c r="H292" s="21">
        <f>HYPERLINK("https://www.youtube.com/results?search_query=takeUforward+Insert+a+given+Node+in+BST", "YouTube Video")</f>
        <v/>
      </c>
    </row>
    <row r="293" ht="20" customHeight="1">
      <c r="A293" s="4" t="n">
        <v>289</v>
      </c>
      <c r="B293" s="4" t="inlineStr">
        <is>
          <t>Todo</t>
        </is>
      </c>
      <c r="C293" s="5" t="inlineStr">
        <is>
          <t>Step 14: BST</t>
        </is>
      </c>
      <c r="D293" s="5" t="inlineStr">
        <is>
          <t>Concepts</t>
        </is>
      </c>
      <c r="E293" s="5" t="inlineStr">
        <is>
          <t>Delete a Node in BST</t>
        </is>
      </c>
      <c r="F293" s="17" t="inlineStr">
        <is>
          <t>Medium</t>
        </is>
      </c>
      <c r="G293" s="13">
        <f>HYPERLINK("https://leetcode.com/problems/delete-node-in-a-bst/", "LeetCode Practice")</f>
        <v/>
      </c>
      <c r="H293" s="20">
        <f>HYPERLINK("https://www.youtube.com/results?search_query=takeUforward+Delete+a+Node+in+BST", "YouTube Video")</f>
        <v/>
      </c>
    </row>
    <row r="294" ht="20" customHeight="1">
      <c r="A294" s="7" t="n">
        <v>290</v>
      </c>
      <c r="B294" s="7" t="inlineStr">
        <is>
          <t>Todo</t>
        </is>
      </c>
      <c r="C294" s="8" t="inlineStr">
        <is>
          <t>Step 14: BST</t>
        </is>
      </c>
      <c r="D294" s="8" t="inlineStr">
        <is>
          <t>Practice Problems</t>
        </is>
      </c>
      <c r="E294" s="8" t="inlineStr">
        <is>
          <t>Find K-th smallest/largest element in BST</t>
        </is>
      </c>
      <c r="F294" s="14" t="inlineStr">
        <is>
          <t>Medium</t>
        </is>
      </c>
      <c r="G294" s="15">
        <f>HYPERLINK("https://leetcode.com/problems/kth-smallest-element-in-a-bst/", "LeetCode Practice")</f>
        <v/>
      </c>
      <c r="H294" s="21">
        <f>HYPERLINK("https://www.youtube.com/results?search_query=takeUforward+Find+K-th+smallest+largest+element+in+BST", "YouTube Video")</f>
        <v/>
      </c>
    </row>
    <row r="295" ht="20" customHeight="1">
      <c r="A295" s="4" t="n">
        <v>291</v>
      </c>
      <c r="B295" s="4" t="inlineStr">
        <is>
          <t>Todo</t>
        </is>
      </c>
      <c r="C295" s="5" t="inlineStr">
        <is>
          <t>Step 14: BST</t>
        </is>
      </c>
      <c r="D295" s="5" t="inlineStr">
        <is>
          <t>Practice Problems</t>
        </is>
      </c>
      <c r="E295" s="5" t="inlineStr">
        <is>
          <t>Check if a tree is a BST or BT</t>
        </is>
      </c>
      <c r="F295" s="17" t="inlineStr">
        <is>
          <t>Medium</t>
        </is>
      </c>
      <c r="G295" s="13">
        <f>HYPERLINK("https://leetcode.com/problems/validate-binary-search-tree/", "LeetCode Practice")</f>
        <v/>
      </c>
      <c r="H295" s="20">
        <f>HYPERLINK("https://www.youtube.com/results?search_query=takeUforward+Check+if+a+tree+is+a+BST+or+BT", "YouTube Video")</f>
        <v/>
      </c>
    </row>
    <row r="296" ht="20" customHeight="1">
      <c r="A296" s="7" t="n">
        <v>292</v>
      </c>
      <c r="B296" s="7" t="inlineStr">
        <is>
          <t>Todo</t>
        </is>
      </c>
      <c r="C296" s="8" t="inlineStr">
        <is>
          <t>Step 14: BST</t>
        </is>
      </c>
      <c r="D296" s="8" t="inlineStr">
        <is>
          <t>Practice Problems</t>
        </is>
      </c>
      <c r="E296" s="8" t="inlineStr">
        <is>
          <t>LCA in Binary Search Tree</t>
        </is>
      </c>
      <c r="F296" s="14" t="inlineStr">
        <is>
          <t>Medium</t>
        </is>
      </c>
      <c r="G296" s="15">
        <f>HYPERLINK("https://leetcode.com/problems/lowest-common-ancestor-of-a-binary-search-tree/", "LeetCode Practice")</f>
        <v/>
      </c>
      <c r="H296" s="21">
        <f>HYPERLINK("https://www.youtube.com/results?search_query=takeUforward+LCA+in+Binary+Search+Tree", "YouTube Video")</f>
        <v/>
      </c>
    </row>
    <row r="297" ht="20" customHeight="1">
      <c r="A297" s="4" t="n">
        <v>293</v>
      </c>
      <c r="B297" s="4" t="inlineStr">
        <is>
          <t>Todo</t>
        </is>
      </c>
      <c r="C297" s="5" t="inlineStr">
        <is>
          <t>Step 14: BST</t>
        </is>
      </c>
      <c r="D297" s="5" t="inlineStr">
        <is>
          <t>Practice Problems</t>
        </is>
      </c>
      <c r="E297" s="5" t="inlineStr">
        <is>
          <t>Construct a BST from a preorder traversal</t>
        </is>
      </c>
      <c r="F297" s="17" t="inlineStr">
        <is>
          <t>Medium</t>
        </is>
      </c>
      <c r="G297" s="13">
        <f>HYPERLINK("https://leetcode.com/problems/construct-binary-search-tree-from-preorder-traversal/", "LeetCode Practice")</f>
        <v/>
      </c>
      <c r="H297" s="20">
        <f>HYPERLINK("https://www.youtube.com/results?search_query=takeUforward+Construct+a+BST+from+a+preorder+traversal", "YouTube Video")</f>
        <v/>
      </c>
    </row>
    <row r="298" ht="20" customHeight="1">
      <c r="A298" s="7" t="n">
        <v>294</v>
      </c>
      <c r="B298" s="7" t="inlineStr">
        <is>
          <t>Todo</t>
        </is>
      </c>
      <c r="C298" s="8" t="inlineStr">
        <is>
          <t>Step 14: BST</t>
        </is>
      </c>
      <c r="D298" s="8" t="inlineStr">
        <is>
          <t>Practice Problems</t>
        </is>
      </c>
      <c r="E298" s="8" t="inlineStr">
        <is>
          <t>Inorder Successor/Predecessor in BST</t>
        </is>
      </c>
      <c r="F298" s="14" t="inlineStr">
        <is>
          <t>Medium</t>
        </is>
      </c>
      <c r="G298" s="15">
        <f>HYPERLINK("https://leetcode.com/problems/inorder-successor-in-bst/", "LeetCode Practice")</f>
        <v/>
      </c>
      <c r="H298" s="21">
        <f>HYPERLINK("https://www.youtube.com/results?search_query=takeUforward+Inorder+Successor+Predecessor+in+BST", "YouTube Video")</f>
        <v/>
      </c>
    </row>
    <row r="299" ht="20" customHeight="1">
      <c r="A299" s="4" t="n">
        <v>295</v>
      </c>
      <c r="B299" s="4" t="inlineStr">
        <is>
          <t>Todo</t>
        </is>
      </c>
      <c r="C299" s="5" t="inlineStr">
        <is>
          <t>Step 14: BST</t>
        </is>
      </c>
      <c r="D299" s="5" t="inlineStr">
        <is>
          <t>Practice Problems</t>
        </is>
      </c>
      <c r="E299" s="5" t="inlineStr">
        <is>
          <t>Binary Search Tree Iterator</t>
        </is>
      </c>
      <c r="F299" s="17" t="inlineStr">
        <is>
          <t>Medium</t>
        </is>
      </c>
      <c r="G299" s="13">
        <f>HYPERLINK("https://leetcode.com/problems/binary-search-tree-iterator/", "LeetCode Practice")</f>
        <v/>
      </c>
      <c r="H299" s="20">
        <f>HYPERLINK("https://www.youtube.com/results?search_query=takeUforward+Binary+Search+Tree+Iterator", "YouTube Video")</f>
        <v/>
      </c>
    </row>
    <row r="300" ht="20" customHeight="1">
      <c r="A300" s="7" t="n">
        <v>296</v>
      </c>
      <c r="B300" s="7" t="inlineStr">
        <is>
          <t>Todo</t>
        </is>
      </c>
      <c r="C300" s="8" t="inlineStr">
        <is>
          <t>Step 14: BST</t>
        </is>
      </c>
      <c r="D300" s="8" t="inlineStr">
        <is>
          <t>Practice Problems</t>
        </is>
      </c>
      <c r="E300" s="8" t="inlineStr">
        <is>
          <t>Two Sum In BST | Check if there exists a pair with given Sum</t>
        </is>
      </c>
      <c r="F300" s="16" t="inlineStr">
        <is>
          <t>Easy</t>
        </is>
      </c>
      <c r="G300" s="15">
        <f>HYPERLINK("https://leetcode.com/problems/two-sum-iv-input-is-a-bst/", "LeetCode Practice")</f>
        <v/>
      </c>
      <c r="H300" s="21">
        <f>HYPERLINK("https://www.youtube.com/results?search_query=takeUforward+Two+Sum+In+BST+++Check+if+there+exists+a+pair+with+given+Sum", "YouTube Video")</f>
        <v/>
      </c>
    </row>
    <row r="301" ht="20" customHeight="1">
      <c r="A301" s="4" t="n">
        <v>297</v>
      </c>
      <c r="B301" s="4" t="inlineStr">
        <is>
          <t>Todo</t>
        </is>
      </c>
      <c r="C301" s="5" t="inlineStr">
        <is>
          <t>Step 14: BST</t>
        </is>
      </c>
      <c r="D301" s="5" t="inlineStr">
        <is>
          <t>Practice Problems</t>
        </is>
      </c>
      <c r="E301" s="5" t="inlineStr">
        <is>
          <t>Correct BST with two nodes swapped</t>
        </is>
      </c>
      <c r="F301" s="17" t="inlineStr">
        <is>
          <t>Medium</t>
        </is>
      </c>
      <c r="G301" s="13">
        <f>HYPERLINK("https://leetcode.com/problems/recover-binary-search-tree/", "LeetCode Practice")</f>
        <v/>
      </c>
      <c r="H301" s="20">
        <f>HYPERLINK("https://www.youtube.com/results?search_query=takeUforward+Correct+BST+with+two+nodes+swapped", "YouTube Video")</f>
        <v/>
      </c>
    </row>
    <row r="302" ht="20" customHeight="1">
      <c r="A302" s="7" t="n">
        <v>298</v>
      </c>
      <c r="B302" s="7" t="inlineStr">
        <is>
          <t>Todo</t>
        </is>
      </c>
      <c r="C302" s="8" t="inlineStr">
        <is>
          <t>Step 14: BST</t>
        </is>
      </c>
      <c r="D302" s="8" t="inlineStr">
        <is>
          <t>Practice Problems</t>
        </is>
      </c>
      <c r="E302" s="8" t="inlineStr">
        <is>
          <t>Largest BST in Binary Tree</t>
        </is>
      </c>
      <c r="F302" s="14" t="inlineStr">
        <is>
          <t>Medium</t>
        </is>
      </c>
      <c r="G302" s="15">
        <f>HYPERLINK("https://leetcode.com/problems/maximum-sum-bst-in-binary-tree/", "LeetCode Practice")</f>
        <v/>
      </c>
      <c r="H302" s="21">
        <f>HYPERLINK("https://www.youtube.com/results?search_query=takeUforward+Largest+BST+in+Binary+Tree", "YouTube Video")</f>
        <v/>
      </c>
    </row>
    <row r="303" ht="20" customHeight="1">
      <c r="A303" s="4" t="n">
        <v>299</v>
      </c>
      <c r="B303" s="4" t="inlineStr">
        <is>
          <t>Todo</t>
        </is>
      </c>
      <c r="C303" s="5" t="inlineStr">
        <is>
          <t>Step 15: Graphs</t>
        </is>
      </c>
      <c r="D303" s="5" t="inlineStr">
        <is>
          <t>Learning</t>
        </is>
      </c>
      <c r="E303" s="5" t="inlineStr">
        <is>
          <t>Introduction to Graph, Graph Representation</t>
        </is>
      </c>
      <c r="F303" s="12" t="inlineStr">
        <is>
          <t>Easy</t>
        </is>
      </c>
      <c r="G303" s="13">
        <f>HYPERLINK("https://leetcode.com/problems/find-center-of-star-graph/", "LeetCode Practice")</f>
        <v/>
      </c>
      <c r="H303" s="20">
        <f>HYPERLINK("https://www.youtube.com/results?search_query=takeUforward+Introduction+to+Graph%2C+Graph+Representation", "YouTube Video")</f>
        <v/>
      </c>
    </row>
    <row r="304" ht="20" customHeight="1">
      <c r="A304" s="7" t="n">
        <v>300</v>
      </c>
      <c r="B304" s="7" t="inlineStr">
        <is>
          <t>Todo</t>
        </is>
      </c>
      <c r="C304" s="8" t="inlineStr">
        <is>
          <t>Step 15: Graphs</t>
        </is>
      </c>
      <c r="D304" s="8" t="inlineStr">
        <is>
          <t>Learning</t>
        </is>
      </c>
      <c r="E304" s="8" t="inlineStr">
        <is>
          <t>Connected Components in Graph</t>
        </is>
      </c>
      <c r="F304" s="14" t="inlineStr">
        <is>
          <t>Medium</t>
        </is>
      </c>
      <c r="G304" s="15">
        <f>HYPERLINK("https://leetcode.com/problems/number-of-provinces/", "LeetCode Practice")</f>
        <v/>
      </c>
      <c r="H304" s="21">
        <f>HYPERLINK("https://www.youtube.com/results?search_query=takeUforward+Connected+Components+in+Graph", "YouTube Video")</f>
        <v/>
      </c>
    </row>
    <row r="305" ht="20" customHeight="1">
      <c r="A305" s="4" t="n">
        <v>301</v>
      </c>
      <c r="B305" s="4" t="inlineStr">
        <is>
          <t>Todo</t>
        </is>
      </c>
      <c r="C305" s="5" t="inlineStr">
        <is>
          <t>Step 15: Graphs</t>
        </is>
      </c>
      <c r="D305" s="5" t="inlineStr">
        <is>
          <t>BFS/DFS Problems</t>
        </is>
      </c>
      <c r="E305" s="5" t="inlineStr">
        <is>
          <t>Breadth First Search (BFS)</t>
        </is>
      </c>
      <c r="F305" s="12" t="inlineStr">
        <is>
          <t>Easy</t>
        </is>
      </c>
      <c r="G305" s="13">
        <f>HYPERLINK("https://leetcode.com/problems/number-of-provinces/", "LeetCode Practice")</f>
        <v/>
      </c>
      <c r="H305" s="20">
        <f>HYPERLINK("https://www.youtube.com/results?search_query=takeUforward+Breadth+First+Search+%28BFS%29", "YouTube Video")</f>
        <v/>
      </c>
    </row>
    <row r="306" ht="20" customHeight="1">
      <c r="A306" s="7" t="n">
        <v>302</v>
      </c>
      <c r="B306" s="7" t="inlineStr">
        <is>
          <t>Todo</t>
        </is>
      </c>
      <c r="C306" s="8" t="inlineStr">
        <is>
          <t>Step 15: Graphs</t>
        </is>
      </c>
      <c r="D306" s="8" t="inlineStr">
        <is>
          <t>BFS/DFS Problems</t>
        </is>
      </c>
      <c r="E306" s="8" t="inlineStr">
        <is>
          <t>Depth First Search (DFS)</t>
        </is>
      </c>
      <c r="F306" s="16" t="inlineStr">
        <is>
          <t>Easy</t>
        </is>
      </c>
      <c r="G306" s="15">
        <f>HYPERLINK("https://leetcode.com/problems/number-of-provinces/", "LeetCode Practice")</f>
        <v/>
      </c>
      <c r="H306" s="21">
        <f>HYPERLINK("https://www.youtube.com/results?search_query=takeUforward+Depth+First+Search+%28DFS%29", "YouTube Video")</f>
        <v/>
      </c>
    </row>
    <row r="307" ht="20" customHeight="1">
      <c r="A307" s="4" t="n">
        <v>303</v>
      </c>
      <c r="B307" s="4" t="inlineStr">
        <is>
          <t>Todo</t>
        </is>
      </c>
      <c r="C307" s="5" t="inlineStr">
        <is>
          <t>Step 15: Graphs</t>
        </is>
      </c>
      <c r="D307" s="5" t="inlineStr">
        <is>
          <t>BFS/DFS Problems</t>
        </is>
      </c>
      <c r="E307" s="5" t="inlineStr">
        <is>
          <t>Number of Provinces</t>
        </is>
      </c>
      <c r="F307" s="17" t="inlineStr">
        <is>
          <t>Medium</t>
        </is>
      </c>
      <c r="G307" s="13">
        <f>HYPERLINK("https://leetcode.com/problems/number-of-provinces/", "LeetCode Practice")</f>
        <v/>
      </c>
      <c r="H307" s="20">
        <f>HYPERLINK("https://www.youtube.com/results?search_query=takeUforward+Number+of+Provinces", "YouTube Video")</f>
        <v/>
      </c>
    </row>
    <row r="308" ht="20" customHeight="1">
      <c r="A308" s="7" t="n">
        <v>304</v>
      </c>
      <c r="B308" s="7" t="inlineStr">
        <is>
          <t>Todo</t>
        </is>
      </c>
      <c r="C308" s="8" t="inlineStr">
        <is>
          <t>Step 15: Graphs</t>
        </is>
      </c>
      <c r="D308" s="8" t="inlineStr">
        <is>
          <t>BFS/DFS Problems</t>
        </is>
      </c>
      <c r="E308" s="8" t="inlineStr">
        <is>
          <t>Connected Components Problem in Matrix</t>
        </is>
      </c>
      <c r="F308" s="14" t="inlineStr">
        <is>
          <t>Medium</t>
        </is>
      </c>
      <c r="G308" s="15">
        <f>HYPERLINK("https://leetcode.com/problems/number-of-islands/", "LeetCode Practice")</f>
        <v/>
      </c>
      <c r="H308" s="21">
        <f>HYPERLINK("https://www.youtube.com/results?search_query=takeUforward+Connected+Components+Problem+in+Matrix", "YouTube Video")</f>
        <v/>
      </c>
    </row>
    <row r="309" ht="20" customHeight="1">
      <c r="A309" s="4" t="n">
        <v>305</v>
      </c>
      <c r="B309" s="4" t="inlineStr">
        <is>
          <t>Todo</t>
        </is>
      </c>
      <c r="C309" s="5" t="inlineStr">
        <is>
          <t>Step 15: Graphs</t>
        </is>
      </c>
      <c r="D309" s="5" t="inlineStr">
        <is>
          <t>BFS/DFS Problems</t>
        </is>
      </c>
      <c r="E309" s="5" t="inlineStr">
        <is>
          <t>Rotten Oranges</t>
        </is>
      </c>
      <c r="F309" s="17" t="inlineStr">
        <is>
          <t>Medium</t>
        </is>
      </c>
      <c r="G309" s="13">
        <f>HYPERLINK("https://leetcode.com/problems/rotting-oranges/", "LeetCode Practice")</f>
        <v/>
      </c>
      <c r="H309" s="20">
        <f>HYPERLINK("https://www.youtube.com/results?search_query=takeUforward+Rotten+Oranges", "YouTube Video")</f>
        <v/>
      </c>
    </row>
    <row r="310" ht="20" customHeight="1">
      <c r="A310" s="7" t="n">
        <v>306</v>
      </c>
      <c r="B310" s="7" t="inlineStr">
        <is>
          <t>Todo</t>
        </is>
      </c>
      <c r="C310" s="8" t="inlineStr">
        <is>
          <t>Step 15: Graphs</t>
        </is>
      </c>
      <c r="D310" s="8" t="inlineStr">
        <is>
          <t>BFS/DFS Problems</t>
        </is>
      </c>
      <c r="E310" s="8" t="inlineStr">
        <is>
          <t>Flood Fill Algorithm</t>
        </is>
      </c>
      <c r="F310" s="16" t="inlineStr">
        <is>
          <t>Easy</t>
        </is>
      </c>
      <c r="G310" s="15">
        <f>HYPERLINK("https://leetcode.com/problems/flood-fill/", "LeetCode Practice")</f>
        <v/>
      </c>
      <c r="H310" s="21">
        <f>HYPERLINK("https://www.youtube.com/results?search_query=takeUforward+Flood+Fill+Algorithm", "YouTube Video")</f>
        <v/>
      </c>
    </row>
    <row r="311" ht="20" customHeight="1">
      <c r="A311" s="4" t="n">
        <v>307</v>
      </c>
      <c r="B311" s="4" t="inlineStr">
        <is>
          <t>Todo</t>
        </is>
      </c>
      <c r="C311" s="5" t="inlineStr">
        <is>
          <t>Step 15: Graphs</t>
        </is>
      </c>
      <c r="D311" s="5" t="inlineStr">
        <is>
          <t>BFS/DFS Problems</t>
        </is>
      </c>
      <c r="E311" s="5" t="inlineStr">
        <is>
          <t>Cycle Detection in Undirected Graph (BFS)</t>
        </is>
      </c>
      <c r="F311" s="17" t="inlineStr">
        <is>
          <t>Medium</t>
        </is>
      </c>
      <c r="G311" s="13">
        <f>HYPERLINK("https://leetcode.com/problems/course-schedule/", "LeetCode Practice")</f>
        <v/>
      </c>
      <c r="H311" s="20">
        <f>HYPERLINK("https://www.youtube.com/results?search_query=takeUforward+Cycle+Detection+in+Undirected+Graph+%28BFS%29", "YouTube Video")</f>
        <v/>
      </c>
    </row>
    <row r="312" ht="20" customHeight="1">
      <c r="A312" s="7" t="n">
        <v>308</v>
      </c>
      <c r="B312" s="7" t="inlineStr">
        <is>
          <t>Todo</t>
        </is>
      </c>
      <c r="C312" s="8" t="inlineStr">
        <is>
          <t>Step 15: Graphs</t>
        </is>
      </c>
      <c r="D312" s="8" t="inlineStr">
        <is>
          <t>BFS/DFS Problems</t>
        </is>
      </c>
      <c r="E312" s="8" t="inlineStr">
        <is>
          <t>Cycle Detection in Undirected Graph (DFS)</t>
        </is>
      </c>
      <c r="F312" s="14" t="inlineStr">
        <is>
          <t>Medium</t>
        </is>
      </c>
      <c r="G312" s="15">
        <f>HYPERLINK("https://leetcode.com/problems/course-schedule-ii/", "LeetCode Practice")</f>
        <v/>
      </c>
      <c r="H312" s="21">
        <f>HYPERLINK("https://www.youtube.com/results?search_query=takeUforward+Cycle+Detection+in+Undirected+Graph+%28DFS%29", "YouTube Video")</f>
        <v/>
      </c>
    </row>
    <row r="313" ht="20" customHeight="1">
      <c r="A313" s="4" t="n">
        <v>309</v>
      </c>
      <c r="B313" s="4" t="inlineStr">
        <is>
          <t>Todo</t>
        </is>
      </c>
      <c r="C313" s="5" t="inlineStr">
        <is>
          <t>Step 15: Graphs</t>
        </is>
      </c>
      <c r="D313" s="5" t="inlineStr">
        <is>
          <t>BFS/DFS Problems</t>
        </is>
      </c>
      <c r="E313" s="5" t="inlineStr">
        <is>
          <t>0/1 Matrix (Distance of nearest cell having 1)</t>
        </is>
      </c>
      <c r="F313" s="17" t="inlineStr">
        <is>
          <t>Medium</t>
        </is>
      </c>
      <c r="G313" s="13">
        <f>HYPERLINK("https://leetcode.com/problems/01-matrix/", "LeetCode Practice")</f>
        <v/>
      </c>
      <c r="H313" s="20">
        <f>HYPERLINK("https://www.youtube.com/results?search_query=takeUforward+0+1+Matrix+%28Distance+of+nearest+cell+having+1%29", "YouTube Video")</f>
        <v/>
      </c>
    </row>
    <row r="314" ht="20" customHeight="1">
      <c r="A314" s="7" t="n">
        <v>310</v>
      </c>
      <c r="B314" s="7" t="inlineStr">
        <is>
          <t>Todo</t>
        </is>
      </c>
      <c r="C314" s="8" t="inlineStr">
        <is>
          <t>Step 15: Graphs</t>
        </is>
      </c>
      <c r="D314" s="8" t="inlineStr">
        <is>
          <t>BFS/DFS Problems</t>
        </is>
      </c>
      <c r="E314" s="8" t="inlineStr">
        <is>
          <t>Surrounded Regions (Replace O's with X's)</t>
        </is>
      </c>
      <c r="F314" s="14" t="inlineStr">
        <is>
          <t>Medium</t>
        </is>
      </c>
      <c r="G314" s="15">
        <f>HYPERLINK("https://leetcode.com/problems/surrounded-regions/", "LeetCode Practice")</f>
        <v/>
      </c>
      <c r="H314" s="21">
        <f>HYPERLINK("https://www.youtube.com/results?search_query=takeUforward+Surrounded+Regions+%28Replace+O%27s+with+X%27s%29", "YouTube Video")</f>
        <v/>
      </c>
    </row>
    <row r="315" ht="20" customHeight="1">
      <c r="A315" s="4" t="n">
        <v>311</v>
      </c>
      <c r="B315" s="4" t="inlineStr">
        <is>
          <t>Todo</t>
        </is>
      </c>
      <c r="C315" s="5" t="inlineStr">
        <is>
          <t>Step 15: Graphs</t>
        </is>
      </c>
      <c r="D315" s="5" t="inlineStr">
        <is>
          <t>BFS/DFS Problems</t>
        </is>
      </c>
      <c r="E315" s="5" t="inlineStr">
        <is>
          <t>Number of Enclaves</t>
        </is>
      </c>
      <c r="F315" s="17" t="inlineStr">
        <is>
          <t>Medium</t>
        </is>
      </c>
      <c r="G315" s="13">
        <f>HYPERLINK("https://leetcode.com/problems/number-of-enclaves/", "LeetCode Practice")</f>
        <v/>
      </c>
      <c r="H315" s="20">
        <f>HYPERLINK("https://www.youtube.com/results?search_query=takeUforward+Number+of+Enclaves", "YouTube Video")</f>
        <v/>
      </c>
    </row>
    <row r="316" ht="20" customHeight="1">
      <c r="A316" s="7" t="n">
        <v>312</v>
      </c>
      <c r="B316" s="7" t="inlineStr">
        <is>
          <t>Todo</t>
        </is>
      </c>
      <c r="C316" s="8" t="inlineStr">
        <is>
          <t>Step 15: Graphs</t>
        </is>
      </c>
      <c r="D316" s="8" t="inlineStr">
        <is>
          <t>BFS/DFS Problems</t>
        </is>
      </c>
      <c r="E316" s="8" t="inlineStr">
        <is>
          <t>Word Ladder I</t>
        </is>
      </c>
      <c r="F316" s="19" t="inlineStr">
        <is>
          <t>Hard</t>
        </is>
      </c>
      <c r="G316" s="15">
        <f>HYPERLINK("https://leetcode.com/problems/word-ladder/", "LeetCode Practice")</f>
        <v/>
      </c>
      <c r="H316" s="21">
        <f>HYPERLINK("https://www.youtube.com/results?search_query=takeUforward+Word+Ladder+I", "YouTube Video")</f>
        <v/>
      </c>
    </row>
    <row r="317" ht="20" customHeight="1">
      <c r="A317" s="4" t="n">
        <v>313</v>
      </c>
      <c r="B317" s="4" t="inlineStr">
        <is>
          <t>Todo</t>
        </is>
      </c>
      <c r="C317" s="5" t="inlineStr">
        <is>
          <t>Step 15: Graphs</t>
        </is>
      </c>
      <c r="D317" s="5" t="inlineStr">
        <is>
          <t>BFS/DFS Problems</t>
        </is>
      </c>
      <c r="E317" s="5" t="inlineStr">
        <is>
          <t>Word Ladder II</t>
        </is>
      </c>
      <c r="F317" s="18" t="inlineStr">
        <is>
          <t>Hard</t>
        </is>
      </c>
      <c r="G317" s="13">
        <f>HYPERLINK("https://leetcode.com/problems/word-ladder-ii/", "LeetCode Practice")</f>
        <v/>
      </c>
      <c r="H317" s="20">
        <f>HYPERLINK("https://www.youtube.com/results?search_query=takeUforward+Word+Ladder+II", "YouTube Video")</f>
        <v/>
      </c>
    </row>
    <row r="318" ht="20" customHeight="1">
      <c r="A318" s="7" t="n">
        <v>314</v>
      </c>
      <c r="B318" s="7" t="inlineStr">
        <is>
          <t>Todo</t>
        </is>
      </c>
      <c r="C318" s="8" t="inlineStr">
        <is>
          <t>Step 15: Graphs</t>
        </is>
      </c>
      <c r="D318" s="8" t="inlineStr">
        <is>
          <t>BFS/DFS Problems</t>
        </is>
      </c>
      <c r="E318" s="8" t="inlineStr">
        <is>
          <t>Number of Distinct Islands</t>
        </is>
      </c>
      <c r="F318" s="14" t="inlineStr">
        <is>
          <t>Medium</t>
        </is>
      </c>
      <c r="G318" s="15">
        <f>HYPERLINK("https://leetcode.com/problems/number-of-distinct-islands/", "LeetCode Practice")</f>
        <v/>
      </c>
      <c r="H318" s="21">
        <f>HYPERLINK("https://www.youtube.com/results?search_query=takeUforward+Number+of+Distinct+Islands", "YouTube Video")</f>
        <v/>
      </c>
    </row>
    <row r="319" ht="20" customHeight="1">
      <c r="A319" s="4" t="n">
        <v>315</v>
      </c>
      <c r="B319" s="4" t="inlineStr">
        <is>
          <t>Todo</t>
        </is>
      </c>
      <c r="C319" s="5" t="inlineStr">
        <is>
          <t>Step 15: Graphs</t>
        </is>
      </c>
      <c r="D319" s="5" t="inlineStr">
        <is>
          <t>BFS/DFS Problems</t>
        </is>
      </c>
      <c r="E319" s="5" t="inlineStr">
        <is>
          <t>Bipartite Graph (BFS)</t>
        </is>
      </c>
      <c r="F319" s="17" t="inlineStr">
        <is>
          <t>Medium</t>
        </is>
      </c>
      <c r="G319" s="13">
        <f>HYPERLINK("https://leetcode.com/problems/is-graph-bipartite/", "LeetCode Practice")</f>
        <v/>
      </c>
      <c r="H319" s="20">
        <f>HYPERLINK("https://www.youtube.com/results?search_query=takeUforward+Bipartite+Graph+%28BFS%29", "YouTube Video")</f>
        <v/>
      </c>
    </row>
    <row r="320" ht="20" customHeight="1">
      <c r="A320" s="7" t="n">
        <v>316</v>
      </c>
      <c r="B320" s="7" t="inlineStr">
        <is>
          <t>Todo</t>
        </is>
      </c>
      <c r="C320" s="8" t="inlineStr">
        <is>
          <t>Step 15: Graphs</t>
        </is>
      </c>
      <c r="D320" s="8" t="inlineStr">
        <is>
          <t>BFS/DFS Problems</t>
        </is>
      </c>
      <c r="E320" s="8" t="inlineStr">
        <is>
          <t>Bipartite Graph (DFS)</t>
        </is>
      </c>
      <c r="F320" s="14" t="inlineStr">
        <is>
          <t>Medium</t>
        </is>
      </c>
      <c r="G320" s="15">
        <f>HYPERLINK("https://leetcode.com/problems/is-graph-bipartite/", "LeetCode Practice")</f>
        <v/>
      </c>
      <c r="H320" s="21">
        <f>HYPERLINK("https://www.youtube.com/results?search_query=takeUforward+Bipartite+Graph+%28DFS%29", "YouTube Video")</f>
        <v/>
      </c>
    </row>
    <row r="321" ht="20" customHeight="1">
      <c r="A321" s="4" t="n">
        <v>317</v>
      </c>
      <c r="B321" s="4" t="inlineStr">
        <is>
          <t>Todo</t>
        </is>
      </c>
      <c r="C321" s="5" t="inlineStr">
        <is>
          <t>Step 15: Graphs</t>
        </is>
      </c>
      <c r="D321" s="5" t="inlineStr">
        <is>
          <t>BFS/DFS Problems</t>
        </is>
      </c>
      <c r="E321" s="5" t="inlineStr">
        <is>
          <t>Cycle Detection in Directed Graph (DFS)</t>
        </is>
      </c>
      <c r="F321" s="17" t="inlineStr">
        <is>
          <t>Medium</t>
        </is>
      </c>
      <c r="G321" s="13">
        <f>HYPERLINK("https://leetcode.com/problems/course-schedule/", "LeetCode Practice")</f>
        <v/>
      </c>
      <c r="H321" s="20">
        <f>HYPERLINK("https://www.youtube.com/results?search_query=takeUforward+Cycle+Detection+in+Directed+Graph+%28DFS%29", "YouTube Video")</f>
        <v/>
      </c>
    </row>
    <row r="322" ht="20" customHeight="1">
      <c r="A322" s="7" t="n">
        <v>318</v>
      </c>
      <c r="B322" s="7" t="inlineStr">
        <is>
          <t>Todo</t>
        </is>
      </c>
      <c r="C322" s="8" t="inlineStr">
        <is>
          <t>Step 15: Graphs</t>
        </is>
      </c>
      <c r="D322" s="8" t="inlineStr">
        <is>
          <t>Topo Sort</t>
        </is>
      </c>
      <c r="E322" s="8" t="inlineStr">
        <is>
          <t>Topological Sort Algorithm (DFS)</t>
        </is>
      </c>
      <c r="F322" s="14" t="inlineStr">
        <is>
          <t>Medium</t>
        </is>
      </c>
      <c r="G322" s="15">
        <f>HYPERLINK("https://leetcode.com/problems/course-schedule-ii/", "LeetCode Practice")</f>
        <v/>
      </c>
      <c r="H322" s="21">
        <f>HYPERLINK("https://www.youtube.com/results?search_query=takeUforward+Topological+Sort+Algorithm+%28DFS%29", "YouTube Video")</f>
        <v/>
      </c>
    </row>
    <row r="323" ht="20" customHeight="1">
      <c r="A323" s="4" t="n">
        <v>319</v>
      </c>
      <c r="B323" s="4" t="inlineStr">
        <is>
          <t>Todo</t>
        </is>
      </c>
      <c r="C323" s="5" t="inlineStr">
        <is>
          <t>Step 15: Graphs</t>
        </is>
      </c>
      <c r="D323" s="5" t="inlineStr">
        <is>
          <t>Topo Sort</t>
        </is>
      </c>
      <c r="E323" s="5" t="inlineStr">
        <is>
          <t>Kahn's Algorithm | Topological Sort (BFS)</t>
        </is>
      </c>
      <c r="F323" s="17" t="inlineStr">
        <is>
          <t>Medium</t>
        </is>
      </c>
      <c r="G323" s="13">
        <f>HYPERLINK("https://leetcode.com/problems/course-schedule-ii/", "LeetCode Practice")</f>
        <v/>
      </c>
      <c r="H323" s="20">
        <f>HYPERLINK("https://www.youtube.com/results?search_query=takeUforward+Kahn%27s+Algorithm+++Topological+Sort+%28BFS%29", "YouTube Video")</f>
        <v/>
      </c>
    </row>
    <row r="324" ht="20" customHeight="1">
      <c r="A324" s="7" t="n">
        <v>320</v>
      </c>
      <c r="B324" s="7" t="inlineStr">
        <is>
          <t>Todo</t>
        </is>
      </c>
      <c r="C324" s="8" t="inlineStr">
        <is>
          <t>Step 15: Graphs</t>
        </is>
      </c>
      <c r="D324" s="8" t="inlineStr">
        <is>
          <t>Topo Sort</t>
        </is>
      </c>
      <c r="E324" s="8" t="inlineStr">
        <is>
          <t>Cycle Detection in Directed Graph (Kahn's Algorithm)</t>
        </is>
      </c>
      <c r="F324" s="14" t="inlineStr">
        <is>
          <t>Medium</t>
        </is>
      </c>
      <c r="G324" s="15">
        <f>HYPERLINK("https://leetcode.com/problems/course-schedule/", "LeetCode Practice")</f>
        <v/>
      </c>
      <c r="H324" s="21">
        <f>HYPERLINK("https://www.youtube.com/results?search_query=takeUforward+Cycle+Detection+in+Directed+Graph+%28Kahn%27s+Algorithm%29", "YouTube Video")</f>
        <v/>
      </c>
    </row>
    <row r="325" ht="20" customHeight="1">
      <c r="A325" s="4" t="n">
        <v>321</v>
      </c>
      <c r="B325" s="4" t="inlineStr">
        <is>
          <t>Todo</t>
        </is>
      </c>
      <c r="C325" s="5" t="inlineStr">
        <is>
          <t>Step 15: Graphs</t>
        </is>
      </c>
      <c r="D325" s="5" t="inlineStr">
        <is>
          <t>Topo Sort</t>
        </is>
      </c>
      <c r="E325" s="5" t="inlineStr">
        <is>
          <t>Course Schedule I and II</t>
        </is>
      </c>
      <c r="F325" s="17" t="inlineStr">
        <is>
          <t>Medium</t>
        </is>
      </c>
      <c r="G325" s="13">
        <f>HYPERLINK("https://leetcode.com/problems/course-schedule/", "LeetCode Practice")</f>
        <v/>
      </c>
      <c r="H325" s="20">
        <f>HYPERLINK("https://www.youtube.com/results?search_query=takeUforward+Course+Schedule+I+and+II", "YouTube Video")</f>
        <v/>
      </c>
    </row>
    <row r="326" ht="20" customHeight="1">
      <c r="A326" s="7" t="n">
        <v>322</v>
      </c>
      <c r="B326" s="7" t="inlineStr">
        <is>
          <t>Todo</t>
        </is>
      </c>
      <c r="C326" s="8" t="inlineStr">
        <is>
          <t>Step 15: Graphs</t>
        </is>
      </c>
      <c r="D326" s="8" t="inlineStr">
        <is>
          <t>Topo Sort</t>
        </is>
      </c>
      <c r="E326" s="8" t="inlineStr">
        <is>
          <t>Find Eventual Safe States</t>
        </is>
      </c>
      <c r="F326" s="14" t="inlineStr">
        <is>
          <t>Medium</t>
        </is>
      </c>
      <c r="G326" s="15">
        <f>HYPERLINK("https://leetcode.com/problems/find-eventual-safe-states/", "LeetCode Practice")</f>
        <v/>
      </c>
      <c r="H326" s="21">
        <f>HYPERLINK("https://www.youtube.com/results?search_query=takeUforward+Find+Eventual+Safe+States", "YouTube Video")</f>
        <v/>
      </c>
    </row>
    <row r="327" ht="20" customHeight="1">
      <c r="A327" s="4" t="n">
        <v>323</v>
      </c>
      <c r="B327" s="4" t="inlineStr">
        <is>
          <t>Todo</t>
        </is>
      </c>
      <c r="C327" s="5" t="inlineStr">
        <is>
          <t>Step 15: Graphs</t>
        </is>
      </c>
      <c r="D327" s="5" t="inlineStr">
        <is>
          <t>Topo Sort</t>
        </is>
      </c>
      <c r="E327" s="5" t="inlineStr">
        <is>
          <t>Alien Dictionary</t>
        </is>
      </c>
      <c r="F327" s="18" t="inlineStr">
        <is>
          <t>Hard</t>
        </is>
      </c>
      <c r="G327" s="13">
        <f>HYPERLINK("https://leetcode.com/problems/alien-dictionary/", "LeetCode Practice")</f>
        <v/>
      </c>
      <c r="H327" s="20">
        <f>HYPERLINK("https://www.youtube.com/results?search_query=takeUforward+Alien+Dictionary", "YouTube Video")</f>
        <v/>
      </c>
    </row>
    <row r="328" ht="20" customHeight="1">
      <c r="A328" s="7" t="n">
        <v>324</v>
      </c>
      <c r="B328" s="7" t="inlineStr">
        <is>
          <t>Todo</t>
        </is>
      </c>
      <c r="C328" s="8" t="inlineStr">
        <is>
          <t>Step 15: Graphs</t>
        </is>
      </c>
      <c r="D328" s="8" t="inlineStr">
        <is>
          <t>Shortest Path</t>
        </is>
      </c>
      <c r="E328" s="8" t="inlineStr">
        <is>
          <t>Shortest Path in Undirected Graph with Unit Weights</t>
        </is>
      </c>
      <c r="F328" s="14" t="inlineStr">
        <is>
          <t>Medium</t>
        </is>
      </c>
      <c r="G328" s="15">
        <f>HYPERLINK("https://leetcode.com/problems/shortest-path-in-binary-matrix/", "LeetCode Practice")</f>
        <v/>
      </c>
      <c r="H328" s="21">
        <f>HYPERLINK("https://www.youtube.com/results?search_query=takeUforward+Shortest+Path+in+Undirected+Graph+with+Unit+Weights", "YouTube Video")</f>
        <v/>
      </c>
    </row>
    <row r="329" ht="20" customHeight="1">
      <c r="A329" s="4" t="n">
        <v>325</v>
      </c>
      <c r="B329" s="4" t="inlineStr">
        <is>
          <t>Todo</t>
        </is>
      </c>
      <c r="C329" s="5" t="inlineStr">
        <is>
          <t>Step 15: Graphs</t>
        </is>
      </c>
      <c r="D329" s="5" t="inlineStr">
        <is>
          <t>Shortest Path</t>
        </is>
      </c>
      <c r="E329" s="5" t="inlineStr">
        <is>
          <t>Shortest Path in Directed Acyclic Graph (DAG)</t>
        </is>
      </c>
      <c r="F329" s="17" t="inlineStr">
        <is>
          <t>Medium</t>
        </is>
      </c>
      <c r="G329" s="13">
        <f>HYPERLINK("https://leetcode.com/problems/cheapest-flights-within-k-stops/", "LeetCode Practice")</f>
        <v/>
      </c>
      <c r="H329" s="20">
        <f>HYPERLINK("https://www.youtube.com/results?search_query=takeUforward+Shortest+Path+in+Directed+Acyclic+Graph+%28DAG%29", "YouTube Video")</f>
        <v/>
      </c>
    </row>
    <row r="330" ht="20" customHeight="1">
      <c r="A330" s="7" t="n">
        <v>326</v>
      </c>
      <c r="B330" s="7" t="inlineStr">
        <is>
          <t>Todo</t>
        </is>
      </c>
      <c r="C330" s="8" t="inlineStr">
        <is>
          <t>Step 15: Graphs</t>
        </is>
      </c>
      <c r="D330" s="8" t="inlineStr">
        <is>
          <t>Shortest Path</t>
        </is>
      </c>
      <c r="E330" s="8" t="inlineStr">
        <is>
          <t>Dijkstra's Algorithm - Using Priority Queue</t>
        </is>
      </c>
      <c r="F330" s="14" t="inlineStr">
        <is>
          <t>Medium</t>
        </is>
      </c>
      <c r="G330" s="15">
        <f>HYPERLINK("https://leetcode.com/problems/network-delay-time/", "LeetCode Practice")</f>
        <v/>
      </c>
      <c r="H330" s="21">
        <f>HYPERLINK("https://www.youtube.com/results?search_query=takeUforward+Dijkstra%27s+Algorithm+-+Using+Priority+Queue", "YouTube Video")</f>
        <v/>
      </c>
    </row>
    <row r="331" ht="20" customHeight="1">
      <c r="A331" s="4" t="n">
        <v>327</v>
      </c>
      <c r="B331" s="4" t="inlineStr">
        <is>
          <t>Todo</t>
        </is>
      </c>
      <c r="C331" s="5" t="inlineStr">
        <is>
          <t>Step 15: Graphs</t>
        </is>
      </c>
      <c r="D331" s="5" t="inlineStr">
        <is>
          <t>Shortest Path</t>
        </is>
      </c>
      <c r="E331" s="5" t="inlineStr">
        <is>
          <t>Dijkstra's Algorithm - Using Set</t>
        </is>
      </c>
      <c r="F331" s="17" t="inlineStr">
        <is>
          <t>Medium</t>
        </is>
      </c>
      <c r="G331" s="13">
        <f>HYPERLINK("https://leetcode.com/problems/network-delay-time/", "LeetCode Practice")</f>
        <v/>
      </c>
      <c r="H331" s="20">
        <f>HYPERLINK("https://www.youtube.com/results?search_query=takeUforward+Dijkstra%27s+Algorithm+-+Using+Set", "YouTube Video")</f>
        <v/>
      </c>
    </row>
    <row r="332" ht="20" customHeight="1">
      <c r="A332" s="7" t="n">
        <v>328</v>
      </c>
      <c r="B332" s="7" t="inlineStr">
        <is>
          <t>Todo</t>
        </is>
      </c>
      <c r="C332" s="8" t="inlineStr">
        <is>
          <t>Step 15: Graphs</t>
        </is>
      </c>
      <c r="D332" s="8" t="inlineStr">
        <is>
          <t>Shortest Path</t>
        </is>
      </c>
      <c r="E332" s="8" t="inlineStr">
        <is>
          <t>Print Shortest Path in Weighted Undirected Graph</t>
        </is>
      </c>
      <c r="F332" s="14" t="inlineStr">
        <is>
          <t>Medium</t>
        </is>
      </c>
      <c r="G332" s="15">
        <f>HYPERLINK("https://leetcode.com/problems/network-delay-time/", "LeetCode Practice")</f>
        <v/>
      </c>
      <c r="H332" s="21">
        <f>HYPERLINK("https://www.youtube.com/results?search_query=takeUforward+Print+Shortest+Path+in+Weighted+Undirected+Graph", "YouTube Video")</f>
        <v/>
      </c>
    </row>
    <row r="333" ht="20" customHeight="1">
      <c r="A333" s="4" t="n">
        <v>329</v>
      </c>
      <c r="B333" s="4" t="inlineStr">
        <is>
          <t>Todo</t>
        </is>
      </c>
      <c r="C333" s="5" t="inlineStr">
        <is>
          <t>Step 15: Graphs</t>
        </is>
      </c>
      <c r="D333" s="5" t="inlineStr">
        <is>
          <t>Shortest Path</t>
        </is>
      </c>
      <c r="E333" s="5" t="inlineStr">
        <is>
          <t>Shortest Distance in a Binary Maze</t>
        </is>
      </c>
      <c r="F333" s="17" t="inlineStr">
        <is>
          <t>Medium</t>
        </is>
      </c>
      <c r="G333" s="13">
        <f>HYPERLINK("https://leetcode.com/problems/shortest-path-in-binary-matrix/", "LeetCode Practice")</f>
        <v/>
      </c>
      <c r="H333" s="20">
        <f>HYPERLINK("https://www.youtube.com/results?search_query=takeUforward+Shortest+Distance+in+a+Binary+Maze", "YouTube Video")</f>
        <v/>
      </c>
    </row>
    <row r="334" ht="20" customHeight="1">
      <c r="A334" s="7" t="n">
        <v>330</v>
      </c>
      <c r="B334" s="7" t="inlineStr">
        <is>
          <t>Todo</t>
        </is>
      </c>
      <c r="C334" s="8" t="inlineStr">
        <is>
          <t>Step 15: Graphs</t>
        </is>
      </c>
      <c r="D334" s="8" t="inlineStr">
        <is>
          <t>Shortest Path</t>
        </is>
      </c>
      <c r="E334" s="8" t="inlineStr">
        <is>
          <t>Path With Minimum Effort</t>
        </is>
      </c>
      <c r="F334" s="14" t="inlineStr">
        <is>
          <t>Medium</t>
        </is>
      </c>
      <c r="G334" s="15">
        <f>HYPERLINK("https://leetcode.com/problems/path-with-minimum-effort/", "LeetCode Practice")</f>
        <v/>
      </c>
      <c r="H334" s="21">
        <f>HYPERLINK("https://www.youtube.com/results?search_query=takeUforward+Path+With+Minimum+Effort", "YouTube Video")</f>
        <v/>
      </c>
    </row>
    <row r="335" ht="20" customHeight="1">
      <c r="A335" s="4" t="n">
        <v>331</v>
      </c>
      <c r="B335" s="4" t="inlineStr">
        <is>
          <t>Todo</t>
        </is>
      </c>
      <c r="C335" s="5" t="inlineStr">
        <is>
          <t>Step 15: Graphs</t>
        </is>
      </c>
      <c r="D335" s="5" t="inlineStr">
        <is>
          <t>Shortest Path</t>
        </is>
      </c>
      <c r="E335" s="5" t="inlineStr">
        <is>
          <t>Cheapest Flights Within K Stops</t>
        </is>
      </c>
      <c r="F335" s="17" t="inlineStr">
        <is>
          <t>Medium</t>
        </is>
      </c>
      <c r="G335" s="13">
        <f>HYPERLINK("https://leetcode.com/problems/cheapest-flights-within-k-stops/", "LeetCode Practice")</f>
        <v/>
      </c>
      <c r="H335" s="20">
        <f>HYPERLINK("https://www.youtube.com/results?search_query=takeUforward+Cheapest+Flights+Within+K+Stops", "YouTube Video")</f>
        <v/>
      </c>
    </row>
    <row r="336" ht="20" customHeight="1">
      <c r="A336" s="7" t="n">
        <v>332</v>
      </c>
      <c r="B336" s="7" t="inlineStr">
        <is>
          <t>Todo</t>
        </is>
      </c>
      <c r="C336" s="8" t="inlineStr">
        <is>
          <t>Step 15: Graphs</t>
        </is>
      </c>
      <c r="D336" s="8" t="inlineStr">
        <is>
          <t>Shortest Path</t>
        </is>
      </c>
      <c r="E336" s="8" t="inlineStr">
        <is>
          <t>Network Delay Time</t>
        </is>
      </c>
      <c r="F336" s="14" t="inlineStr">
        <is>
          <t>Medium</t>
        </is>
      </c>
      <c r="G336" s="15">
        <f>HYPERLINK("https://leetcode.com/problems/network-delay-time/", "LeetCode Practice")</f>
        <v/>
      </c>
      <c r="H336" s="21">
        <f>HYPERLINK("https://www.youtube.com/results?search_query=takeUforward+Network+Delay+Time", "YouTube Video")</f>
        <v/>
      </c>
    </row>
    <row r="337" ht="20" customHeight="1">
      <c r="A337" s="4" t="n">
        <v>333</v>
      </c>
      <c r="B337" s="4" t="inlineStr">
        <is>
          <t>Todo</t>
        </is>
      </c>
      <c r="C337" s="5" t="inlineStr">
        <is>
          <t>Step 15: Graphs</t>
        </is>
      </c>
      <c r="D337" s="5" t="inlineStr">
        <is>
          <t>Shortest Path</t>
        </is>
      </c>
      <c r="E337" s="5" t="inlineStr">
        <is>
          <t>Number of Ways to Arrive at Destination</t>
        </is>
      </c>
      <c r="F337" s="17" t="inlineStr">
        <is>
          <t>Medium</t>
        </is>
      </c>
      <c r="G337" s="13">
        <f>HYPERLINK("https://leetcode.com/problems/number-of-ways-to-arrive-at-destination/", "LeetCode Practice")</f>
        <v/>
      </c>
      <c r="H337" s="20">
        <f>HYPERLINK("https://www.youtube.com/results?search_query=takeUforward+Number+of+Ways+to+Arrive+at+Destination", "YouTube Video")</f>
        <v/>
      </c>
    </row>
    <row r="338" ht="20" customHeight="1">
      <c r="A338" s="7" t="n">
        <v>334</v>
      </c>
      <c r="B338" s="7" t="inlineStr">
        <is>
          <t>Todo</t>
        </is>
      </c>
      <c r="C338" s="8" t="inlineStr">
        <is>
          <t>Step 15: Graphs</t>
        </is>
      </c>
      <c r="D338" s="8" t="inlineStr">
        <is>
          <t>Shortest Path</t>
        </is>
      </c>
      <c r="E338" s="8" t="inlineStr">
        <is>
          <t>Minimum Steps to Reach End by Multiplying</t>
        </is>
      </c>
      <c r="F338" s="14" t="inlineStr">
        <is>
          <t>Medium</t>
        </is>
      </c>
      <c r="G338" s="15">
        <f>HYPERLINK("https://leetcode.com/problems/open-the-lock/", "LeetCode Practice")</f>
        <v/>
      </c>
      <c r="H338" s="21">
        <f>HYPERLINK("https://www.youtube.com/results?search_query=takeUforward+Minimum+Steps+to+Reach+End+by+Multiplying", "YouTube Video")</f>
        <v/>
      </c>
    </row>
    <row r="339" ht="20" customHeight="1">
      <c r="A339" s="4" t="n">
        <v>335</v>
      </c>
      <c r="B339" s="4" t="inlineStr">
        <is>
          <t>Todo</t>
        </is>
      </c>
      <c r="C339" s="5" t="inlineStr">
        <is>
          <t>Step 15: Graphs</t>
        </is>
      </c>
      <c r="D339" s="5" t="inlineStr">
        <is>
          <t>Shortest Path</t>
        </is>
      </c>
      <c r="E339" s="5" t="inlineStr">
        <is>
          <t>Bellman Ford Algorithm</t>
        </is>
      </c>
      <c r="F339" s="17" t="inlineStr">
        <is>
          <t>Medium</t>
        </is>
      </c>
      <c r="G339" s="13">
        <f>HYPERLINK("https://leetcode.com/problems/cheapest-flights-within-k-stops/", "LeetCode Practice")</f>
        <v/>
      </c>
      <c r="H339" s="20">
        <f>HYPERLINK("https://www.youtube.com/results?search_query=takeUforward+Bellman+Ford+Algorithm", "YouTube Video")</f>
        <v/>
      </c>
    </row>
    <row r="340" ht="20" customHeight="1">
      <c r="A340" s="7" t="n">
        <v>336</v>
      </c>
      <c r="B340" s="7" t="inlineStr">
        <is>
          <t>Todo</t>
        </is>
      </c>
      <c r="C340" s="8" t="inlineStr">
        <is>
          <t>Step 15: Graphs</t>
        </is>
      </c>
      <c r="D340" s="8" t="inlineStr">
        <is>
          <t>Shortest Path</t>
        </is>
      </c>
      <c r="E340" s="8" t="inlineStr">
        <is>
          <t>Floyd Warshall Algorithm</t>
        </is>
      </c>
      <c r="F340" s="14" t="inlineStr">
        <is>
          <t>Medium</t>
        </is>
      </c>
      <c r="G340" s="15">
        <f>HYPERLINK("https://leetcode.com/problems/find-the-city-with-the-smallest-number-of-neighbors-at-a-threshold-distance/", "LeetCode Practice")</f>
        <v/>
      </c>
      <c r="H340" s="21">
        <f>HYPERLINK("https://www.youtube.com/results?search_query=takeUforward+Floyd+Warshall+Algorithm", "YouTube Video")</f>
        <v/>
      </c>
    </row>
    <row r="341" ht="20" customHeight="1">
      <c r="A341" s="4" t="n">
        <v>337</v>
      </c>
      <c r="B341" s="4" t="inlineStr">
        <is>
          <t>Todo</t>
        </is>
      </c>
      <c r="C341" s="5" t="inlineStr">
        <is>
          <t>Step 15: Graphs</t>
        </is>
      </c>
      <c r="D341" s="5" t="inlineStr">
        <is>
          <t>Shortest Path</t>
        </is>
      </c>
      <c r="E341" s="5" t="inlineStr">
        <is>
          <t>Find the City With the Smallest Number of Neighbors at a Threshold Distance</t>
        </is>
      </c>
      <c r="F341" s="17" t="inlineStr">
        <is>
          <t>Medium</t>
        </is>
      </c>
      <c r="G341" s="13">
        <f>HYPERLINK("https://leetcode.com/problems/find-the-city-with-the-smallest-number-of-neighbors-at-a-threshold-distance/", "LeetCode Practice")</f>
        <v/>
      </c>
      <c r="H341" s="20">
        <f>HYPERLINK("https://www.youtube.com/results?search_query=takeUforward+Find+the+City+With+the+Smallest+Number+of+Neighbors+at+a+Threshold+Distance", "YouTube Video")</f>
        <v/>
      </c>
    </row>
    <row r="342" ht="20" customHeight="1">
      <c r="A342" s="7" t="n">
        <v>338</v>
      </c>
      <c r="B342" s="7" t="inlineStr">
        <is>
          <t>Todo</t>
        </is>
      </c>
      <c r="C342" s="8" t="inlineStr">
        <is>
          <t>Step 15: Graphs</t>
        </is>
      </c>
      <c r="D342" s="8" t="inlineStr">
        <is>
          <t>MST / Disjoint Set</t>
        </is>
      </c>
      <c r="E342" s="8" t="inlineStr">
        <is>
          <t>Minimum Spanning Tree - Prim's Algorithm</t>
        </is>
      </c>
      <c r="F342" s="14" t="inlineStr">
        <is>
          <t>Medium</t>
        </is>
      </c>
      <c r="G342" s="15">
        <f>HYPERLINK("https://leetcode.com/problems/min-cost-to-connect-all-points/", "LeetCode Practice")</f>
        <v/>
      </c>
      <c r="H342" s="21">
        <f>HYPERLINK("https://www.youtube.com/results?search_query=takeUforward+Minimum+Spanning+Tree+-+Prim%27s+Algorithm", "YouTube Video")</f>
        <v/>
      </c>
    </row>
    <row r="343" ht="20" customHeight="1">
      <c r="A343" s="4" t="n">
        <v>339</v>
      </c>
      <c r="B343" s="4" t="inlineStr">
        <is>
          <t>Todo</t>
        </is>
      </c>
      <c r="C343" s="5" t="inlineStr">
        <is>
          <t>Step 15: Graphs</t>
        </is>
      </c>
      <c r="D343" s="5" t="inlineStr">
        <is>
          <t>MST / Disjoint Set</t>
        </is>
      </c>
      <c r="E343" s="5" t="inlineStr">
        <is>
          <t>Disjoint Set Union (Rank &amp; Size)</t>
        </is>
      </c>
      <c r="F343" s="17" t="inlineStr">
        <is>
          <t>Medium</t>
        </is>
      </c>
      <c r="G343" s="13">
        <f>HYPERLINK("https://leetcode.com/problems/redundant-connection/", "LeetCode Practice")</f>
        <v/>
      </c>
      <c r="H343" s="20">
        <f>HYPERLINK("https://www.youtube.com/results?search_query=takeUforward+Disjoint+Set+Union+%28Rank+%26+Size%29", "YouTube Video")</f>
        <v/>
      </c>
    </row>
    <row r="344" ht="20" customHeight="1">
      <c r="A344" s="7" t="n">
        <v>340</v>
      </c>
      <c r="B344" s="7" t="inlineStr">
        <is>
          <t>Todo</t>
        </is>
      </c>
      <c r="C344" s="8" t="inlineStr">
        <is>
          <t>Step 15: Graphs</t>
        </is>
      </c>
      <c r="D344" s="8" t="inlineStr">
        <is>
          <t>MST / Disjoint Set</t>
        </is>
      </c>
      <c r="E344" s="8" t="inlineStr">
        <is>
          <t>Kruskal's Algorithm</t>
        </is>
      </c>
      <c r="F344" s="14" t="inlineStr">
        <is>
          <t>Medium</t>
        </is>
      </c>
      <c r="G344" s="15">
        <f>HYPERLINK("https://leetcode.com/problems/min-cost-to-connect-all-points/", "LeetCode Practice")</f>
        <v/>
      </c>
      <c r="H344" s="21">
        <f>HYPERLINK("https://www.youtube.com/results?search_query=takeUforward+Kruskal%27s+Algorithm", "YouTube Video")</f>
        <v/>
      </c>
    </row>
    <row r="345" ht="20" customHeight="1">
      <c r="A345" s="4" t="n">
        <v>341</v>
      </c>
      <c r="B345" s="4" t="inlineStr">
        <is>
          <t>Todo</t>
        </is>
      </c>
      <c r="C345" s="5" t="inlineStr">
        <is>
          <t>Step 15: Graphs</t>
        </is>
      </c>
      <c r="D345" s="5" t="inlineStr">
        <is>
          <t>MST / Disjoint Set</t>
        </is>
      </c>
      <c r="E345" s="5" t="inlineStr">
        <is>
          <t>Number of Operations to Make Network Connected</t>
        </is>
      </c>
      <c r="F345" s="17" t="inlineStr">
        <is>
          <t>Medium</t>
        </is>
      </c>
      <c r="G345" s="13">
        <f>HYPERLINK("https://leetcode.com/problems/number-of-operations-to-make-network-connected/", "LeetCode Practice")</f>
        <v/>
      </c>
      <c r="H345" s="20">
        <f>HYPERLINK("https://www.youtube.com/results?search_query=takeUforward+Number+of+Operations+to+Make+Network+Connected", "YouTube Video")</f>
        <v/>
      </c>
    </row>
    <row r="346" ht="20" customHeight="1">
      <c r="A346" s="7" t="n">
        <v>342</v>
      </c>
      <c r="B346" s="7" t="inlineStr">
        <is>
          <t>Todo</t>
        </is>
      </c>
      <c r="C346" s="8" t="inlineStr">
        <is>
          <t>Step 15: Graphs</t>
        </is>
      </c>
      <c r="D346" s="8" t="inlineStr">
        <is>
          <t>MST / Disjoint Set</t>
        </is>
      </c>
      <c r="E346" s="8" t="inlineStr">
        <is>
          <t>Most Stones Removed with Same Row or Column</t>
        </is>
      </c>
      <c r="F346" s="14" t="inlineStr">
        <is>
          <t>Medium</t>
        </is>
      </c>
      <c r="G346" s="15">
        <f>HYPERLINK("https://leetcode.com/problems/most-stones-removed-with-same-row-or-column/", "LeetCode Practice")</f>
        <v/>
      </c>
      <c r="H346" s="21">
        <f>HYPERLINK("https://www.youtube.com/results?search_query=takeUforward+Most+Stones+Removed+with+Same+Row+or+Column", "YouTube Video")</f>
        <v/>
      </c>
    </row>
    <row r="347" ht="20" customHeight="1">
      <c r="A347" s="4" t="n">
        <v>343</v>
      </c>
      <c r="B347" s="4" t="inlineStr">
        <is>
          <t>Todo</t>
        </is>
      </c>
      <c r="C347" s="5" t="inlineStr">
        <is>
          <t>Step 15: Graphs</t>
        </is>
      </c>
      <c r="D347" s="5" t="inlineStr">
        <is>
          <t>MST / Disjoint Set</t>
        </is>
      </c>
      <c r="E347" s="5" t="inlineStr">
        <is>
          <t>Accounts Merge</t>
        </is>
      </c>
      <c r="F347" s="17" t="inlineStr">
        <is>
          <t>Medium</t>
        </is>
      </c>
      <c r="G347" s="13">
        <f>HYPERLINK("https://leetcode.com/problems/accounts-merge/", "LeetCode Practice")</f>
        <v/>
      </c>
      <c r="H347" s="20">
        <f>HYPERLINK("https://www.youtube.com/results?search_query=takeUforward+Accounts+Merge", "YouTube Video")</f>
        <v/>
      </c>
    </row>
    <row r="348" ht="20" customHeight="1">
      <c r="A348" s="7" t="n">
        <v>344</v>
      </c>
      <c r="B348" s="7" t="inlineStr">
        <is>
          <t>Todo</t>
        </is>
      </c>
      <c r="C348" s="8" t="inlineStr">
        <is>
          <t>Step 15: Graphs</t>
        </is>
      </c>
      <c r="D348" s="8" t="inlineStr">
        <is>
          <t>MST / Disjoint Set</t>
        </is>
      </c>
      <c r="E348" s="8" t="inlineStr">
        <is>
          <t>Number of Island II</t>
        </is>
      </c>
      <c r="F348" s="19" t="inlineStr">
        <is>
          <t>Hard</t>
        </is>
      </c>
      <c r="G348" s="15">
        <f>HYPERLINK("https://leetcode.com/problems/number-of-islands-ii/", "LeetCode Practice")</f>
        <v/>
      </c>
      <c r="H348" s="21">
        <f>HYPERLINK("https://www.youtube.com/results?search_query=takeUforward+Number+of+Island+II", "YouTube Video")</f>
        <v/>
      </c>
    </row>
    <row r="349" ht="20" customHeight="1">
      <c r="A349" s="4" t="n">
        <v>345</v>
      </c>
      <c r="B349" s="4" t="inlineStr">
        <is>
          <t>Todo</t>
        </is>
      </c>
      <c r="C349" s="5" t="inlineStr">
        <is>
          <t>Step 15: Graphs</t>
        </is>
      </c>
      <c r="D349" s="5" t="inlineStr">
        <is>
          <t>MST / Disjoint Set</t>
        </is>
      </c>
      <c r="E349" s="5" t="inlineStr">
        <is>
          <t>Making a Large Island</t>
        </is>
      </c>
      <c r="F349" s="18" t="inlineStr">
        <is>
          <t>Hard</t>
        </is>
      </c>
      <c r="G349" s="13">
        <f>HYPERLINK("https://leetcode.com/problems/making-a-large-island/", "LeetCode Practice")</f>
        <v/>
      </c>
      <c r="H349" s="20">
        <f>HYPERLINK("https://www.youtube.com/results?search_query=takeUforward+Making+a+Large+Island", "YouTube Video")</f>
        <v/>
      </c>
    </row>
    <row r="350" ht="20" customHeight="1">
      <c r="A350" s="7" t="n">
        <v>346</v>
      </c>
      <c r="B350" s="7" t="inlineStr">
        <is>
          <t>Todo</t>
        </is>
      </c>
      <c r="C350" s="8" t="inlineStr">
        <is>
          <t>Step 15: Graphs</t>
        </is>
      </c>
      <c r="D350" s="8" t="inlineStr">
        <is>
          <t>MST / Disjoint Set</t>
        </is>
      </c>
      <c r="E350" s="8" t="inlineStr">
        <is>
          <t>Swim in Rising Water</t>
        </is>
      </c>
      <c r="F350" s="19" t="inlineStr">
        <is>
          <t>Hard</t>
        </is>
      </c>
      <c r="G350" s="15">
        <f>HYPERLINK("https://leetcode.com/problems/swim-in-rising-water/", "LeetCode Practice")</f>
        <v/>
      </c>
      <c r="H350" s="21">
        <f>HYPERLINK("https://www.youtube.com/results?search_query=takeUforward+Swim+in+Rising+Water", "YouTube Video")</f>
        <v/>
      </c>
    </row>
    <row r="351" ht="20" customHeight="1">
      <c r="A351" s="4" t="n">
        <v>347</v>
      </c>
      <c r="B351" s="4" t="inlineStr">
        <is>
          <t>Todo</t>
        </is>
      </c>
      <c r="C351" s="5" t="inlineStr">
        <is>
          <t>Step 15: Graphs</t>
        </is>
      </c>
      <c r="D351" s="5" t="inlineStr">
        <is>
          <t>Other Algorithms</t>
        </is>
      </c>
      <c r="E351" s="5" t="inlineStr">
        <is>
          <t>Bridges in Graph - Tarjan's Algorithm</t>
        </is>
      </c>
      <c r="F351" s="18" t="inlineStr">
        <is>
          <t>Hard</t>
        </is>
      </c>
      <c r="G351" s="13">
        <f>HYPERLINK("https://leetcode.com/problems/critical-connections-in-a-network/", "LeetCode Practice")</f>
        <v/>
      </c>
      <c r="H351" s="20">
        <f>HYPERLINK("https://www.youtube.com/results?search_query=takeUforward+Bridges+in+Graph+-+Tarjan%27s+Algorithm", "YouTube Video")</f>
        <v/>
      </c>
    </row>
    <row r="352" ht="20" customHeight="1">
      <c r="A352" s="7" t="n">
        <v>348</v>
      </c>
      <c r="B352" s="7" t="inlineStr">
        <is>
          <t>Todo</t>
        </is>
      </c>
      <c r="C352" s="8" t="inlineStr">
        <is>
          <t>Step 15: Graphs</t>
        </is>
      </c>
      <c r="D352" s="8" t="inlineStr">
        <is>
          <t>Other Algorithms</t>
        </is>
      </c>
      <c r="E352" s="8" t="inlineStr">
        <is>
          <t>Articulation Point in Graph</t>
        </is>
      </c>
      <c r="F352" s="19" t="inlineStr">
        <is>
          <t>Hard</t>
        </is>
      </c>
      <c r="G352" s="15">
        <f>HYPERLINK("https://leetcode.com/problems/critical-connections-in-a-network/", "LeetCode Practice")</f>
        <v/>
      </c>
      <c r="H352" s="21">
        <f>HYPERLINK("https://www.youtube.com/results?search_query=takeUforward+Articulation+Point+in+Graph", "YouTube Video")</f>
        <v/>
      </c>
    </row>
    <row r="353" ht="20" customHeight="1">
      <c r="A353" s="4" t="n">
        <v>349</v>
      </c>
      <c r="B353" s="4" t="inlineStr">
        <is>
          <t>Todo</t>
        </is>
      </c>
      <c r="C353" s="5" t="inlineStr">
        <is>
          <t>Step 15: Graphs</t>
        </is>
      </c>
      <c r="D353" s="5" t="inlineStr">
        <is>
          <t>Other Algorithms</t>
        </is>
      </c>
      <c r="E353" s="5" t="inlineStr">
        <is>
          <t>Strongly Connected Components - Kosaraju's Algorithm</t>
        </is>
      </c>
      <c r="F353" s="18" t="inlineStr">
        <is>
          <t>Hard</t>
        </is>
      </c>
      <c r="G353" s="13">
        <f>HYPERLINK("https://leetcode.com/problems/critical-connections-in-a-network/", "LeetCode Practice")</f>
        <v/>
      </c>
      <c r="H353" s="20">
        <f>HYPERLINK("https://www.youtube.com/results?search_query=takeUforward+Strongly+Connected+Components+-+Kosaraju%27s+Algorithm", "YouTube Video")</f>
        <v/>
      </c>
    </row>
    <row r="354" ht="20" customHeight="1">
      <c r="A354" s="7" t="n">
        <v>350</v>
      </c>
      <c r="B354" s="7" t="inlineStr">
        <is>
          <t>Todo</t>
        </is>
      </c>
      <c r="C354" s="8" t="inlineStr">
        <is>
          <t>Step 16: DP</t>
        </is>
      </c>
      <c r="D354" s="8" t="inlineStr">
        <is>
          <t>1D DP</t>
        </is>
      </c>
      <c r="E354" s="8" t="inlineStr">
        <is>
          <t>Introduction to DP (Memoization &amp; Tabulation)</t>
        </is>
      </c>
      <c r="F354" s="16" t="inlineStr">
        <is>
          <t>Easy</t>
        </is>
      </c>
      <c r="G354" s="15">
        <f>HYPERLINK("https://leetcode.com/problems/fibonacci-number/", "LeetCode Practice")</f>
        <v/>
      </c>
      <c r="H354" s="21">
        <f>HYPERLINK("https://www.youtube.com/results?search_query=takeUforward+Introduction+to+DP+%28Memoization+%26+Tabulation%29", "YouTube Video")</f>
        <v/>
      </c>
    </row>
    <row r="355" ht="20" customHeight="1">
      <c r="A355" s="4" t="n">
        <v>351</v>
      </c>
      <c r="B355" s="4" t="inlineStr">
        <is>
          <t>Todo</t>
        </is>
      </c>
      <c r="C355" s="5" t="inlineStr">
        <is>
          <t>Step 16: DP</t>
        </is>
      </c>
      <c r="D355" s="5" t="inlineStr">
        <is>
          <t>1D DP</t>
        </is>
      </c>
      <c r="E355" s="5" t="inlineStr">
        <is>
          <t>Climbing Stars</t>
        </is>
      </c>
      <c r="F355" s="12" t="inlineStr">
        <is>
          <t>Easy</t>
        </is>
      </c>
      <c r="G355" s="13">
        <f>HYPERLINK("https://leetcode.com/problems/climbing-stairs/", "LeetCode Practice")</f>
        <v/>
      </c>
      <c r="H355" s="20">
        <f>HYPERLINK("https://www.youtube.com/results?search_query=takeUforward+Climbing+Stars", "YouTube Video")</f>
        <v/>
      </c>
    </row>
    <row r="356" ht="20" customHeight="1">
      <c r="A356" s="7" t="n">
        <v>352</v>
      </c>
      <c r="B356" s="7" t="inlineStr">
        <is>
          <t>Todo</t>
        </is>
      </c>
      <c r="C356" s="8" t="inlineStr">
        <is>
          <t>Step 16: DP</t>
        </is>
      </c>
      <c r="D356" s="8" t="inlineStr">
        <is>
          <t>1D DP</t>
        </is>
      </c>
      <c r="E356" s="8" t="inlineStr">
        <is>
          <t>Frog Jump (DP-3)</t>
        </is>
      </c>
      <c r="F356" s="14" t="inlineStr">
        <is>
          <t>Medium</t>
        </is>
      </c>
      <c r="G356" s="15">
        <f>HYPERLINK("https://leetcode.com/problems/frog-jump/", "LeetCode Practice")</f>
        <v/>
      </c>
      <c r="H356" s="21">
        <f>HYPERLINK("https://www.youtube.com/results?search_query=takeUforward+Frog+Jump+%28DP-3%29", "YouTube Video")</f>
        <v/>
      </c>
    </row>
    <row r="357" ht="20" customHeight="1">
      <c r="A357" s="4" t="n">
        <v>353</v>
      </c>
      <c r="B357" s="4" t="inlineStr">
        <is>
          <t>Todo</t>
        </is>
      </c>
      <c r="C357" s="5" t="inlineStr">
        <is>
          <t>Step 16: DP</t>
        </is>
      </c>
      <c r="D357" s="5" t="inlineStr">
        <is>
          <t>1D DP</t>
        </is>
      </c>
      <c r="E357" s="5" t="inlineStr">
        <is>
          <t>Frog Jump with K distances (DP-4)</t>
        </is>
      </c>
      <c r="F357" s="17" t="inlineStr">
        <is>
          <t>Medium</t>
        </is>
      </c>
      <c r="G357" s="13">
        <f>HYPERLINK("https://leetcode.com/problems/frog-jump/", "LeetCode Practice")</f>
        <v/>
      </c>
      <c r="H357" s="20">
        <f>HYPERLINK("https://www.youtube.com/results?search_query=takeUforward+Frog+Jump+with+K+distances+%28DP-4%29", "YouTube Video")</f>
        <v/>
      </c>
    </row>
    <row r="358" ht="20" customHeight="1">
      <c r="A358" s="7" t="n">
        <v>354</v>
      </c>
      <c r="B358" s="7" t="inlineStr">
        <is>
          <t>Todo</t>
        </is>
      </c>
      <c r="C358" s="8" t="inlineStr">
        <is>
          <t>Step 16: DP</t>
        </is>
      </c>
      <c r="D358" s="8" t="inlineStr">
        <is>
          <t>1D DP</t>
        </is>
      </c>
      <c r="E358" s="8" t="inlineStr">
        <is>
          <t>Maximum Sum of Non-Adjacent Elements (House Robber)</t>
        </is>
      </c>
      <c r="F358" s="14" t="inlineStr">
        <is>
          <t>Medium</t>
        </is>
      </c>
      <c r="G358" s="15">
        <f>HYPERLINK("https://leetcode.com/problems/house-robber/", "LeetCode Practice")</f>
        <v/>
      </c>
      <c r="H358" s="21">
        <f>HYPERLINK("https://www.youtube.com/results?search_query=takeUforward+Maximum+Sum+of+Non-Adjacent+Elements+%28House+Robber%29", "YouTube Video")</f>
        <v/>
      </c>
    </row>
    <row r="359" ht="20" customHeight="1">
      <c r="A359" s="4" t="n">
        <v>355</v>
      </c>
      <c r="B359" s="4" t="inlineStr">
        <is>
          <t>Todo</t>
        </is>
      </c>
      <c r="C359" s="5" t="inlineStr">
        <is>
          <t>Step 16: DP</t>
        </is>
      </c>
      <c r="D359" s="5" t="inlineStr">
        <is>
          <t>1D DP</t>
        </is>
      </c>
      <c r="E359" s="5" t="inlineStr">
        <is>
          <t>House Robber II</t>
        </is>
      </c>
      <c r="F359" s="17" t="inlineStr">
        <is>
          <t>Medium</t>
        </is>
      </c>
      <c r="G359" s="13">
        <f>HYPERLINK("https://leetcode.com/problems/house-robber-ii/", "LeetCode Practice")</f>
        <v/>
      </c>
      <c r="H359" s="20">
        <f>HYPERLINK("https://www.youtube.com/results?search_query=takeUforward+House+Robber+II", "YouTube Video")</f>
        <v/>
      </c>
    </row>
    <row r="360" ht="20" customHeight="1">
      <c r="A360" s="7" t="n">
        <v>356</v>
      </c>
      <c r="B360" s="7" t="inlineStr">
        <is>
          <t>Todo</t>
        </is>
      </c>
      <c r="C360" s="8" t="inlineStr">
        <is>
          <t>Step 16: DP</t>
        </is>
      </c>
      <c r="D360" s="8" t="inlineStr">
        <is>
          <t>2D/3D &amp; Grids</t>
        </is>
      </c>
      <c r="E360" s="8" t="inlineStr">
        <is>
          <t>Ninja's Training</t>
        </is>
      </c>
      <c r="F360" s="14" t="inlineStr">
        <is>
          <t>Medium</t>
        </is>
      </c>
      <c r="G360" s="15">
        <f>HYPERLINK("https://leetcode.com/problems/maximum-points-you-can-obtain-from-cards/", "LeetCode Practice")</f>
        <v/>
      </c>
      <c r="H360" s="21">
        <f>HYPERLINK("https://www.youtube.com/results?search_query=takeUforward+Ninja%27s+Training", "YouTube Video")</f>
        <v/>
      </c>
    </row>
    <row r="361" ht="20" customHeight="1">
      <c r="A361" s="4" t="n">
        <v>357</v>
      </c>
      <c r="B361" s="4" t="inlineStr">
        <is>
          <t>Todo</t>
        </is>
      </c>
      <c r="C361" s="5" t="inlineStr">
        <is>
          <t>Step 16: DP</t>
        </is>
      </c>
      <c r="D361" s="5" t="inlineStr">
        <is>
          <t>2D/3D &amp; Grids</t>
        </is>
      </c>
      <c r="E361" s="5" t="inlineStr">
        <is>
          <t>Grid Unique Paths</t>
        </is>
      </c>
      <c r="F361" s="17" t="inlineStr">
        <is>
          <t>Medium</t>
        </is>
      </c>
      <c r="G361" s="13">
        <f>HYPERLINK("https://leetcode.com/problems/unique-paths/", "LeetCode Practice")</f>
        <v/>
      </c>
      <c r="H361" s="20">
        <f>HYPERLINK("https://www.youtube.com/results?search_query=takeUforward+Grid+Unique+Paths", "YouTube Video")</f>
        <v/>
      </c>
    </row>
    <row r="362" ht="20" customHeight="1">
      <c r="A362" s="7" t="n">
        <v>358</v>
      </c>
      <c r="B362" s="7" t="inlineStr">
        <is>
          <t>Todo</t>
        </is>
      </c>
      <c r="C362" s="8" t="inlineStr">
        <is>
          <t>Step 16: DP</t>
        </is>
      </c>
      <c r="D362" s="8" t="inlineStr">
        <is>
          <t>2D/3D &amp; Grids</t>
        </is>
      </c>
      <c r="E362" s="8" t="inlineStr">
        <is>
          <t>Grid Unique Paths II</t>
        </is>
      </c>
      <c r="F362" s="14" t="inlineStr">
        <is>
          <t>Medium</t>
        </is>
      </c>
      <c r="G362" s="15">
        <f>HYPERLINK("https://leetcode.com/problems/unique-paths-ii/", "LeetCode Practice")</f>
        <v/>
      </c>
      <c r="H362" s="21">
        <f>HYPERLINK("https://www.youtube.com/results?search_query=takeUforward+Grid+Unique+Paths+II", "YouTube Video")</f>
        <v/>
      </c>
    </row>
    <row r="363" ht="20" customHeight="1">
      <c r="A363" s="4" t="n">
        <v>359</v>
      </c>
      <c r="B363" s="4" t="inlineStr">
        <is>
          <t>Todo</t>
        </is>
      </c>
      <c r="C363" s="5" t="inlineStr">
        <is>
          <t>Step 16: DP</t>
        </is>
      </c>
      <c r="D363" s="5" t="inlineStr">
        <is>
          <t>2D/3D &amp; Grids</t>
        </is>
      </c>
      <c r="E363" s="5" t="inlineStr">
        <is>
          <t>Minimum Path Sum in Grid</t>
        </is>
      </c>
      <c r="F363" s="17" t="inlineStr">
        <is>
          <t>Medium</t>
        </is>
      </c>
      <c r="G363" s="13">
        <f>HYPERLINK("https://leetcode.com/problems/minimum-path-sum/", "LeetCode Practice")</f>
        <v/>
      </c>
      <c r="H363" s="20">
        <f>HYPERLINK("https://www.youtube.com/results?search_query=takeUforward+Minimum+Path+Sum+in+Grid", "YouTube Video")</f>
        <v/>
      </c>
    </row>
    <row r="364" ht="20" customHeight="1">
      <c r="A364" s="7" t="n">
        <v>360</v>
      </c>
      <c r="B364" s="7" t="inlineStr">
        <is>
          <t>Todo</t>
        </is>
      </c>
      <c r="C364" s="8" t="inlineStr">
        <is>
          <t>Step 16: DP</t>
        </is>
      </c>
      <c r="D364" s="8" t="inlineStr">
        <is>
          <t>2D/3D &amp; Grids</t>
        </is>
      </c>
      <c r="E364" s="8" t="inlineStr">
        <is>
          <t>Minimum Path Sum in Triangular Grid</t>
        </is>
      </c>
      <c r="F364" s="14" t="inlineStr">
        <is>
          <t>Medium</t>
        </is>
      </c>
      <c r="G364" s="15">
        <f>HYPERLINK("https://leetcode.com/problems/triangle/", "LeetCode Practice")</f>
        <v/>
      </c>
      <c r="H364" s="21">
        <f>HYPERLINK("https://www.youtube.com/results?search_query=takeUforward+Minimum+Path+Sum+in+Triangular+Grid", "YouTube Video")</f>
        <v/>
      </c>
    </row>
    <row r="365" ht="20" customHeight="1">
      <c r="A365" s="4" t="n">
        <v>361</v>
      </c>
      <c r="B365" s="4" t="inlineStr">
        <is>
          <t>Todo</t>
        </is>
      </c>
      <c r="C365" s="5" t="inlineStr">
        <is>
          <t>Step 16: DP</t>
        </is>
      </c>
      <c r="D365" s="5" t="inlineStr">
        <is>
          <t>2D/3D &amp; Grids</t>
        </is>
      </c>
      <c r="E365" s="5" t="inlineStr">
        <is>
          <t>Minimum / Maximum Falling Path Sum</t>
        </is>
      </c>
      <c r="F365" s="17" t="inlineStr">
        <is>
          <t>Medium</t>
        </is>
      </c>
      <c r="G365" s="13">
        <f>HYPERLINK("https://leetcode.com/problems/minimum-falling-path-sum/", "LeetCode Practice")</f>
        <v/>
      </c>
      <c r="H365" s="20">
        <f>HYPERLINK("https://www.youtube.com/results?search_query=takeUforward+Minimum+++Maximum+Falling+Path+Sum", "YouTube Video")</f>
        <v/>
      </c>
    </row>
    <row r="366" ht="20" customHeight="1">
      <c r="A366" s="7" t="n">
        <v>362</v>
      </c>
      <c r="B366" s="7" t="inlineStr">
        <is>
          <t>Todo</t>
        </is>
      </c>
      <c r="C366" s="8" t="inlineStr">
        <is>
          <t>Step 16: DP</t>
        </is>
      </c>
      <c r="D366" s="8" t="inlineStr">
        <is>
          <t>2D/3D &amp; Grids</t>
        </is>
      </c>
      <c r="E366" s="8" t="inlineStr">
        <is>
          <t>Cherry Pickup II (3D DP)</t>
        </is>
      </c>
      <c r="F366" s="19" t="inlineStr">
        <is>
          <t>Hard</t>
        </is>
      </c>
      <c r="G366" s="15">
        <f>HYPERLINK("https://leetcode.com/problems/cherry-pickup-ii/", "LeetCode Practice")</f>
        <v/>
      </c>
      <c r="H366" s="21">
        <f>HYPERLINK("https://www.youtube.com/results?search_query=takeUforward+Cherry+Pickup+II+%283D+DP%29", "YouTube Video")</f>
        <v/>
      </c>
    </row>
    <row r="367" ht="20" customHeight="1">
      <c r="A367" s="4" t="n">
        <v>363</v>
      </c>
      <c r="B367" s="4" t="inlineStr">
        <is>
          <t>Todo</t>
        </is>
      </c>
      <c r="C367" s="5" t="inlineStr">
        <is>
          <t>Step 16: DP</t>
        </is>
      </c>
      <c r="D367" s="5" t="inlineStr">
        <is>
          <t>Subsequences</t>
        </is>
      </c>
      <c r="E367" s="5" t="inlineStr">
        <is>
          <t>Subset Sum Equal to K</t>
        </is>
      </c>
      <c r="F367" s="17" t="inlineStr">
        <is>
          <t>Medium</t>
        </is>
      </c>
      <c r="G367" s="13">
        <f>HYPERLINK("https://leetcode.com/problems/partition-equal-subset-sum/", "LeetCode Practice")</f>
        <v/>
      </c>
      <c r="H367" s="20">
        <f>HYPERLINK("https://www.youtube.com/results?search_query=takeUforward+Subset+Sum+Equal+to+K", "YouTube Video")</f>
        <v/>
      </c>
    </row>
    <row r="368" ht="20" customHeight="1">
      <c r="A368" s="7" t="n">
        <v>364</v>
      </c>
      <c r="B368" s="7" t="inlineStr">
        <is>
          <t>Todo</t>
        </is>
      </c>
      <c r="C368" s="8" t="inlineStr">
        <is>
          <t>Step 16: DP</t>
        </is>
      </c>
      <c r="D368" s="8" t="inlineStr">
        <is>
          <t>Subsequences</t>
        </is>
      </c>
      <c r="E368" s="8" t="inlineStr">
        <is>
          <t>Partition Equal Subset Sum</t>
        </is>
      </c>
      <c r="F368" s="14" t="inlineStr">
        <is>
          <t>Medium</t>
        </is>
      </c>
      <c r="G368" s="15">
        <f>HYPERLINK("https://leetcode.com/problems/partition-equal-subset-sum/", "LeetCode Practice")</f>
        <v/>
      </c>
      <c r="H368" s="21">
        <f>HYPERLINK("https://www.youtube.com/results?search_query=takeUforward+Partition+Equal+Subset+Sum", "YouTube Video")</f>
        <v/>
      </c>
    </row>
    <row r="369" ht="20" customHeight="1">
      <c r="A369" s="4" t="n">
        <v>365</v>
      </c>
      <c r="B369" s="4" t="inlineStr">
        <is>
          <t>Todo</t>
        </is>
      </c>
      <c r="C369" s="5" t="inlineStr">
        <is>
          <t>Step 16: DP</t>
        </is>
      </c>
      <c r="D369" s="5" t="inlineStr">
        <is>
          <t>Subsequences</t>
        </is>
      </c>
      <c r="E369" s="5" t="inlineStr">
        <is>
          <t>Partition Set Into 2 Subsets With Min Absolute Sum Diff</t>
        </is>
      </c>
      <c r="F369" s="18" t="inlineStr">
        <is>
          <t>Hard</t>
        </is>
      </c>
      <c r="G369" s="13">
        <f>HYPERLINK("https://leetcode.com/problems/partition-array-into-two-arrays-to-minimize-sum-difference/", "LeetCode Practice")</f>
        <v/>
      </c>
      <c r="H369" s="20">
        <f>HYPERLINK("https://www.youtube.com/results?search_query=takeUforward+Partition+Set+Into+2+Subsets+With+Min+Absolute+Sum+Diff", "YouTube Video")</f>
        <v/>
      </c>
    </row>
    <row r="370" ht="20" customHeight="1">
      <c r="A370" s="7" t="n">
        <v>366</v>
      </c>
      <c r="B370" s="7" t="inlineStr">
        <is>
          <t>Todo</t>
        </is>
      </c>
      <c r="C370" s="8" t="inlineStr">
        <is>
          <t>Step 16: DP</t>
        </is>
      </c>
      <c r="D370" s="8" t="inlineStr">
        <is>
          <t>Subsequences</t>
        </is>
      </c>
      <c r="E370" s="8" t="inlineStr">
        <is>
          <t>Count Subsets with Sum K</t>
        </is>
      </c>
      <c r="F370" s="14" t="inlineStr">
        <is>
          <t>Medium</t>
        </is>
      </c>
      <c r="G370" s="15">
        <f>HYPERLINK("https://leetcode.com/problems/combination-sum-iv/", "LeetCode Practice")</f>
        <v/>
      </c>
      <c r="H370" s="21">
        <f>HYPERLINK("https://www.youtube.com/results?search_query=takeUforward+Count+Subsets+with+Sum+K", "YouTube Video")</f>
        <v/>
      </c>
    </row>
    <row r="371" ht="20" customHeight="1">
      <c r="A371" s="4" t="n">
        <v>367</v>
      </c>
      <c r="B371" s="4" t="inlineStr">
        <is>
          <t>Todo</t>
        </is>
      </c>
      <c r="C371" s="5" t="inlineStr">
        <is>
          <t>Step 16: DP</t>
        </is>
      </c>
      <c r="D371" s="5" t="inlineStr">
        <is>
          <t>Subsequences</t>
        </is>
      </c>
      <c r="E371" s="5" t="inlineStr">
        <is>
          <t>Count Partitions with Given Difference</t>
        </is>
      </c>
      <c r="F371" s="17" t="inlineStr">
        <is>
          <t>Medium</t>
        </is>
      </c>
      <c r="G371" s="13">
        <f>HYPERLINK("https://leetcode.com/problems/target-sum/", "LeetCode Practice")</f>
        <v/>
      </c>
      <c r="H371" s="20">
        <f>HYPERLINK("https://www.youtube.com/results?search_query=takeUforward+Count+Partitions+with+Given+Difference", "YouTube Video")</f>
        <v/>
      </c>
    </row>
    <row r="372" ht="20" customHeight="1">
      <c r="A372" s="7" t="n">
        <v>368</v>
      </c>
      <c r="B372" s="7" t="inlineStr">
        <is>
          <t>Todo</t>
        </is>
      </c>
      <c r="C372" s="8" t="inlineStr">
        <is>
          <t>Step 16: DP</t>
        </is>
      </c>
      <c r="D372" s="8" t="inlineStr">
        <is>
          <t>Subsequences</t>
        </is>
      </c>
      <c r="E372" s="8" t="inlineStr">
        <is>
          <t>0/1 Knapsack</t>
        </is>
      </c>
      <c r="F372" s="14" t="inlineStr">
        <is>
          <t>Medium</t>
        </is>
      </c>
      <c r="G372" s="15">
        <f>HYPERLINK("https://leetcode.com/problems/ones-and-zeroes/", "LeetCode Practice")</f>
        <v/>
      </c>
      <c r="H372" s="21">
        <f>HYPERLINK("https://www.youtube.com/results?search_query=takeUforward+0+1+Knapsack", "YouTube Video")</f>
        <v/>
      </c>
    </row>
    <row r="373" ht="20" customHeight="1">
      <c r="A373" s="4" t="n">
        <v>369</v>
      </c>
      <c r="B373" s="4" t="inlineStr">
        <is>
          <t>Todo</t>
        </is>
      </c>
      <c r="C373" s="5" t="inlineStr">
        <is>
          <t>Step 16: DP</t>
        </is>
      </c>
      <c r="D373" s="5" t="inlineStr">
        <is>
          <t>Subsequences</t>
        </is>
      </c>
      <c r="E373" s="5" t="inlineStr">
        <is>
          <t>Coin Change</t>
        </is>
      </c>
      <c r="F373" s="17" t="inlineStr">
        <is>
          <t>Medium</t>
        </is>
      </c>
      <c r="G373" s="13">
        <f>HYPERLINK("https://leetcode.com/problems/coin-change/", "LeetCode Practice")</f>
        <v/>
      </c>
      <c r="H373" s="20">
        <f>HYPERLINK("https://www.youtube.com/results?search_query=takeUforward+Coin+Change", "YouTube Video")</f>
        <v/>
      </c>
    </row>
    <row r="374" ht="20" customHeight="1">
      <c r="A374" s="7" t="n">
        <v>370</v>
      </c>
      <c r="B374" s="7" t="inlineStr">
        <is>
          <t>Todo</t>
        </is>
      </c>
      <c r="C374" s="8" t="inlineStr">
        <is>
          <t>Step 16: DP</t>
        </is>
      </c>
      <c r="D374" s="8" t="inlineStr">
        <is>
          <t>Subsequences</t>
        </is>
      </c>
      <c r="E374" s="8" t="inlineStr">
        <is>
          <t>Target Sum</t>
        </is>
      </c>
      <c r="F374" s="14" t="inlineStr">
        <is>
          <t>Medium</t>
        </is>
      </c>
      <c r="G374" s="15">
        <f>HYPERLINK("https://leetcode.com/problems/target-sum/", "LeetCode Practice")</f>
        <v/>
      </c>
      <c r="H374" s="21">
        <f>HYPERLINK("https://www.youtube.com/results?search_query=takeUforward+Target+Sum", "YouTube Video")</f>
        <v/>
      </c>
    </row>
    <row r="375" ht="20" customHeight="1">
      <c r="A375" s="4" t="n">
        <v>371</v>
      </c>
      <c r="B375" s="4" t="inlineStr">
        <is>
          <t>Todo</t>
        </is>
      </c>
      <c r="C375" s="5" t="inlineStr">
        <is>
          <t>Step 16: DP</t>
        </is>
      </c>
      <c r="D375" s="5" t="inlineStr">
        <is>
          <t>Subsequences</t>
        </is>
      </c>
      <c r="E375" s="5" t="inlineStr">
        <is>
          <t>Coin Change 2</t>
        </is>
      </c>
      <c r="F375" s="17" t="inlineStr">
        <is>
          <t>Medium</t>
        </is>
      </c>
      <c r="G375" s="13">
        <f>HYPERLINK("https://leetcode.com/problems/coin-change-ii/", "LeetCode Practice")</f>
        <v/>
      </c>
      <c r="H375" s="20">
        <f>HYPERLINK("https://www.youtube.com/results?search_query=takeUforward+Coin+Change+2", "YouTube Video")</f>
        <v/>
      </c>
    </row>
    <row r="376" ht="20" customHeight="1">
      <c r="A376" s="7" t="n">
        <v>372</v>
      </c>
      <c r="B376" s="7" t="inlineStr">
        <is>
          <t>Todo</t>
        </is>
      </c>
      <c r="C376" s="8" t="inlineStr">
        <is>
          <t>Step 16: DP</t>
        </is>
      </c>
      <c r="D376" s="8" t="inlineStr">
        <is>
          <t>Subsequences</t>
        </is>
      </c>
      <c r="E376" s="8" t="inlineStr">
        <is>
          <t>Unbounded Knapsack</t>
        </is>
      </c>
      <c r="F376" s="14" t="inlineStr">
        <is>
          <t>Medium</t>
        </is>
      </c>
      <c r="G376" s="15">
        <f>HYPERLINK("https://leetcode.com/problems/combination-sum-iv/", "LeetCode Practice")</f>
        <v/>
      </c>
      <c r="H376" s="21">
        <f>HYPERLINK("https://www.youtube.com/results?search_query=takeUforward+Unbounded+Knapsack", "YouTube Video")</f>
        <v/>
      </c>
    </row>
    <row r="377" ht="20" customHeight="1">
      <c r="A377" s="4" t="n">
        <v>373</v>
      </c>
      <c r="B377" s="4" t="inlineStr">
        <is>
          <t>Todo</t>
        </is>
      </c>
      <c r="C377" s="5" t="inlineStr">
        <is>
          <t>Step 16: DP</t>
        </is>
      </c>
      <c r="D377" s="5" t="inlineStr">
        <is>
          <t>Subsequences</t>
        </is>
      </c>
      <c r="E377" s="5" t="inlineStr">
        <is>
          <t>Rod Cutting Problem</t>
        </is>
      </c>
      <c r="F377" s="17" t="inlineStr">
        <is>
          <t>Medium</t>
        </is>
      </c>
      <c r="G377" s="13">
        <f>HYPERLINK("https://leetcode.com/problems/integer-break/", "LeetCode Practice")</f>
        <v/>
      </c>
      <c r="H377" s="20">
        <f>HYPERLINK("https://www.youtube.com/results?search_query=takeUforward+Rod+Cutting+Problem", "YouTube Video")</f>
        <v/>
      </c>
    </row>
    <row r="378" ht="20" customHeight="1">
      <c r="A378" s="7" t="n">
        <v>374</v>
      </c>
      <c r="B378" s="7" t="inlineStr">
        <is>
          <t>Todo</t>
        </is>
      </c>
      <c r="C378" s="8" t="inlineStr">
        <is>
          <t>Step 16: DP</t>
        </is>
      </c>
      <c r="D378" s="8" t="inlineStr">
        <is>
          <t>Strings DP</t>
        </is>
      </c>
      <c r="E378" s="8" t="inlineStr">
        <is>
          <t>Longest Common Subsequence</t>
        </is>
      </c>
      <c r="F378" s="14" t="inlineStr">
        <is>
          <t>Medium</t>
        </is>
      </c>
      <c r="G378" s="15">
        <f>HYPERLINK("https://leetcode.com/problems/longest-common-subsequence/", "LeetCode Practice")</f>
        <v/>
      </c>
      <c r="H378" s="21">
        <f>HYPERLINK("https://www.youtube.com/results?search_query=takeUforward+Longest+Common+Subsequence", "YouTube Video")</f>
        <v/>
      </c>
    </row>
    <row r="379" ht="20" customHeight="1">
      <c r="A379" s="4" t="n">
        <v>375</v>
      </c>
      <c r="B379" s="4" t="inlineStr">
        <is>
          <t>Todo</t>
        </is>
      </c>
      <c r="C379" s="5" t="inlineStr">
        <is>
          <t>Step 16: DP</t>
        </is>
      </c>
      <c r="D379" s="5" t="inlineStr">
        <is>
          <t>Strings DP</t>
        </is>
      </c>
      <c r="E379" s="5" t="inlineStr">
        <is>
          <t>Print Longest Common Subsequence</t>
        </is>
      </c>
      <c r="F379" s="17" t="inlineStr">
        <is>
          <t>Medium</t>
        </is>
      </c>
      <c r="G379" s="13">
        <f>HYPERLINK("https://leetcode.com/problems/longest-common-subsequence/", "LeetCode Practice")</f>
        <v/>
      </c>
      <c r="H379" s="20">
        <f>HYPERLINK("https://www.youtube.com/results?search_query=takeUforward+Print+Longest+Common+Subsequence", "YouTube Video")</f>
        <v/>
      </c>
    </row>
    <row r="380" ht="20" customHeight="1">
      <c r="A380" s="7" t="n">
        <v>376</v>
      </c>
      <c r="B380" s="7" t="inlineStr">
        <is>
          <t>Todo</t>
        </is>
      </c>
      <c r="C380" s="8" t="inlineStr">
        <is>
          <t>Step 16: DP</t>
        </is>
      </c>
      <c r="D380" s="8" t="inlineStr">
        <is>
          <t>Strings DP</t>
        </is>
      </c>
      <c r="E380" s="8" t="inlineStr">
        <is>
          <t>Longest Common Substring</t>
        </is>
      </c>
      <c r="F380" s="14" t="inlineStr">
        <is>
          <t>Medium</t>
        </is>
      </c>
      <c r="G380" s="15">
        <f>HYPERLINK("https://leetcode.com/problems/maximum-length-of-repeated-subarray/", "LeetCode Practice")</f>
        <v/>
      </c>
      <c r="H380" s="21">
        <f>HYPERLINK("https://www.youtube.com/results?search_query=takeUforward+Longest+Common+Substring", "YouTube Video")</f>
        <v/>
      </c>
    </row>
    <row r="381" ht="20" customHeight="1">
      <c r="A381" s="4" t="n">
        <v>377</v>
      </c>
      <c r="B381" s="4" t="inlineStr">
        <is>
          <t>Todo</t>
        </is>
      </c>
      <c r="C381" s="5" t="inlineStr">
        <is>
          <t>Step 16: DP</t>
        </is>
      </c>
      <c r="D381" s="5" t="inlineStr">
        <is>
          <t>Strings DP</t>
        </is>
      </c>
      <c r="E381" s="5" t="inlineStr">
        <is>
          <t>Longest Palindromic Subsequence</t>
        </is>
      </c>
      <c r="F381" s="17" t="inlineStr">
        <is>
          <t>Medium</t>
        </is>
      </c>
      <c r="G381" s="13">
        <f>HYPERLINK("https://leetcode.com/problems/longest-palindromic-subsequence/", "LeetCode Practice")</f>
        <v/>
      </c>
      <c r="H381" s="20">
        <f>HYPERLINK("https://www.youtube.com/results?search_query=takeUforward+Longest+Palindromic+Subsequence", "YouTube Video")</f>
        <v/>
      </c>
    </row>
    <row r="382" ht="20" customHeight="1">
      <c r="A382" s="7" t="n">
        <v>378</v>
      </c>
      <c r="B382" s="7" t="inlineStr">
        <is>
          <t>Todo</t>
        </is>
      </c>
      <c r="C382" s="8" t="inlineStr">
        <is>
          <t>Step 16: DP</t>
        </is>
      </c>
      <c r="D382" s="8" t="inlineStr">
        <is>
          <t>Strings DP</t>
        </is>
      </c>
      <c r="E382" s="8" t="inlineStr">
        <is>
          <t>Minimum insertions to make string palindrome</t>
        </is>
      </c>
      <c r="F382" s="14" t="inlineStr">
        <is>
          <t>Medium</t>
        </is>
      </c>
      <c r="G382" s="15">
        <f>HYPERLINK("https://leetcode.com/problems/minimum-insertion-steps-to-make-a-string-palindrome/", "LeetCode Practice")</f>
        <v/>
      </c>
      <c r="H382" s="21">
        <f>HYPERLINK("https://www.youtube.com/results?search_query=takeUforward+Minimum+insertions+to+make+string+palindrome", "YouTube Video")</f>
        <v/>
      </c>
    </row>
    <row r="383" ht="20" customHeight="1">
      <c r="A383" s="4" t="n">
        <v>379</v>
      </c>
      <c r="B383" s="4" t="inlineStr">
        <is>
          <t>Todo</t>
        </is>
      </c>
      <c r="C383" s="5" t="inlineStr">
        <is>
          <t>Step 16: DP</t>
        </is>
      </c>
      <c r="D383" s="5" t="inlineStr">
        <is>
          <t>Strings DP</t>
        </is>
      </c>
      <c r="E383" s="5" t="inlineStr">
        <is>
          <t>Minimum Insertions/Deletions to Convert String A to String B</t>
        </is>
      </c>
      <c r="F383" s="17" t="inlineStr">
        <is>
          <t>Medium</t>
        </is>
      </c>
      <c r="G383" s="13">
        <f>HYPERLINK("https://leetcode.com/problems/delete-operation-for-two-strings/", "LeetCode Practice")</f>
        <v/>
      </c>
      <c r="H383" s="20">
        <f>HYPERLINK("https://www.youtube.com/results?search_query=takeUforward+Minimum+Insertions+Deletions+to+Convert+String+A+to+String+B", "YouTube Video")</f>
        <v/>
      </c>
    </row>
    <row r="384" ht="20" customHeight="1">
      <c r="A384" s="7" t="n">
        <v>380</v>
      </c>
      <c r="B384" s="7" t="inlineStr">
        <is>
          <t>Todo</t>
        </is>
      </c>
      <c r="C384" s="8" t="inlineStr">
        <is>
          <t>Step 16: DP</t>
        </is>
      </c>
      <c r="D384" s="8" t="inlineStr">
        <is>
          <t>Strings DP</t>
        </is>
      </c>
      <c r="E384" s="8" t="inlineStr">
        <is>
          <t>Shortest Common Supersequence</t>
        </is>
      </c>
      <c r="F384" s="19" t="inlineStr">
        <is>
          <t>Hard</t>
        </is>
      </c>
      <c r="G384" s="15">
        <f>HYPERLINK("https://leetcode.com/problems/shortest-common-supersequence/", "LeetCode Practice")</f>
        <v/>
      </c>
      <c r="H384" s="21">
        <f>HYPERLINK("https://www.youtube.com/results?search_query=takeUforward+Shortest+Common+Supersequence", "YouTube Video")</f>
        <v/>
      </c>
    </row>
    <row r="385" ht="20" customHeight="1">
      <c r="A385" s="4" t="n">
        <v>381</v>
      </c>
      <c r="B385" s="4" t="inlineStr">
        <is>
          <t>Todo</t>
        </is>
      </c>
      <c r="C385" s="5" t="inlineStr">
        <is>
          <t>Step 16: DP</t>
        </is>
      </c>
      <c r="D385" s="5" t="inlineStr">
        <is>
          <t>Strings DP</t>
        </is>
      </c>
      <c r="E385" s="5" t="inlineStr">
        <is>
          <t>Distinct Subsequences</t>
        </is>
      </c>
      <c r="F385" s="18" t="inlineStr">
        <is>
          <t>Hard</t>
        </is>
      </c>
      <c r="G385" s="13">
        <f>HYPERLINK("https://leetcode.com/problems/distinct-subsequences/", "LeetCode Practice")</f>
        <v/>
      </c>
      <c r="H385" s="20">
        <f>HYPERLINK("https://www.youtube.com/results?search_query=takeUforward+Distinct+Subsequences", "YouTube Video")</f>
        <v/>
      </c>
    </row>
    <row r="386" ht="20" customHeight="1">
      <c r="A386" s="7" t="n">
        <v>382</v>
      </c>
      <c r="B386" s="7" t="inlineStr">
        <is>
          <t>Todo</t>
        </is>
      </c>
      <c r="C386" s="8" t="inlineStr">
        <is>
          <t>Step 16: DP</t>
        </is>
      </c>
      <c r="D386" s="8" t="inlineStr">
        <is>
          <t>Strings DP</t>
        </is>
      </c>
      <c r="E386" s="8" t="inlineStr">
        <is>
          <t>Edit Distance</t>
        </is>
      </c>
      <c r="F386" s="14" t="inlineStr">
        <is>
          <t>Medium</t>
        </is>
      </c>
      <c r="G386" s="15">
        <f>HYPERLINK("https://leetcode.com/problems/edit-distance/", "LeetCode Practice")</f>
        <v/>
      </c>
      <c r="H386" s="21">
        <f>HYPERLINK("https://www.youtube.com/results?search_query=takeUforward+Edit+Distance", "YouTube Video")</f>
        <v/>
      </c>
    </row>
    <row r="387" ht="20" customHeight="1">
      <c r="A387" s="4" t="n">
        <v>383</v>
      </c>
      <c r="B387" s="4" t="inlineStr">
        <is>
          <t>Todo</t>
        </is>
      </c>
      <c r="C387" s="5" t="inlineStr">
        <is>
          <t>Step 16: DP</t>
        </is>
      </c>
      <c r="D387" s="5" t="inlineStr">
        <is>
          <t>Strings DP</t>
        </is>
      </c>
      <c r="E387" s="5" t="inlineStr">
        <is>
          <t>Wildcard Matching</t>
        </is>
      </c>
      <c r="F387" s="18" t="inlineStr">
        <is>
          <t>Hard</t>
        </is>
      </c>
      <c r="G387" s="13">
        <f>HYPERLINK("https://leetcode.com/problems/wildcard-matching/", "LeetCode Practice")</f>
        <v/>
      </c>
      <c r="H387" s="20">
        <f>HYPERLINK("https://www.youtube.com/results?search_query=takeUforward+Wildcard+Matching", "YouTube Video")</f>
        <v/>
      </c>
    </row>
    <row r="388" ht="20" customHeight="1">
      <c r="A388" s="7" t="n">
        <v>384</v>
      </c>
      <c r="B388" s="7" t="inlineStr">
        <is>
          <t>Todo</t>
        </is>
      </c>
      <c r="C388" s="8" t="inlineStr">
        <is>
          <t>Step 16: DP</t>
        </is>
      </c>
      <c r="D388" s="8" t="inlineStr">
        <is>
          <t>Stocks DP</t>
        </is>
      </c>
      <c r="E388" s="8" t="inlineStr">
        <is>
          <t>Best Time to Buy and Sell Stock</t>
        </is>
      </c>
      <c r="F388" s="16" t="inlineStr">
        <is>
          <t>Easy</t>
        </is>
      </c>
      <c r="G388" s="15">
        <f>HYPERLINK("https://leetcode.com/problems/best-time-to-buy-and-sell-stock/", "LeetCode Practice")</f>
        <v/>
      </c>
      <c r="H388" s="21">
        <f>HYPERLINK("https://www.youtube.com/results?search_query=takeUforward+Best+Time+to+Buy+and+Sell+Stock", "YouTube Video")</f>
        <v/>
      </c>
    </row>
    <row r="389" ht="20" customHeight="1">
      <c r="A389" s="4" t="n">
        <v>385</v>
      </c>
      <c r="B389" s="4" t="inlineStr">
        <is>
          <t>Todo</t>
        </is>
      </c>
      <c r="C389" s="5" t="inlineStr">
        <is>
          <t>Step 16: DP</t>
        </is>
      </c>
      <c r="D389" s="5" t="inlineStr">
        <is>
          <t>Stocks DP</t>
        </is>
      </c>
      <c r="E389" s="5" t="inlineStr">
        <is>
          <t>Buy and Sell Stock - II</t>
        </is>
      </c>
      <c r="F389" s="17" t="inlineStr">
        <is>
          <t>Medium</t>
        </is>
      </c>
      <c r="G389" s="13">
        <f>HYPERLINK("https://leetcode.com/problems/best-time-to-buy-and-sell-stock-ii/", "LeetCode Practice")</f>
        <v/>
      </c>
      <c r="H389" s="20">
        <f>HYPERLINK("https://www.youtube.com/results?search_query=takeUforward+Buy+and+Sell+Stock+-+II", "YouTube Video")</f>
        <v/>
      </c>
    </row>
    <row r="390" ht="20" customHeight="1">
      <c r="A390" s="7" t="n">
        <v>386</v>
      </c>
      <c r="B390" s="7" t="inlineStr">
        <is>
          <t>Todo</t>
        </is>
      </c>
      <c r="C390" s="8" t="inlineStr">
        <is>
          <t>Step 16: DP</t>
        </is>
      </c>
      <c r="D390" s="8" t="inlineStr">
        <is>
          <t>Stocks DP</t>
        </is>
      </c>
      <c r="E390" s="8" t="inlineStr">
        <is>
          <t>Buy and Sell Stock - III</t>
        </is>
      </c>
      <c r="F390" s="19" t="inlineStr">
        <is>
          <t>Hard</t>
        </is>
      </c>
      <c r="G390" s="15">
        <f>HYPERLINK("https://leetcode.com/problems/best-time-to-buy-and-sell-stock-iii/", "LeetCode Practice")</f>
        <v/>
      </c>
      <c r="H390" s="21">
        <f>HYPERLINK("https://www.youtube.com/results?search_query=takeUforward+Buy+and+Sell+Stock+-+III", "YouTube Video")</f>
        <v/>
      </c>
    </row>
    <row r="391" ht="20" customHeight="1">
      <c r="A391" s="4" t="n">
        <v>387</v>
      </c>
      <c r="B391" s="4" t="inlineStr">
        <is>
          <t>Todo</t>
        </is>
      </c>
      <c r="C391" s="5" t="inlineStr">
        <is>
          <t>Step 16: DP</t>
        </is>
      </c>
      <c r="D391" s="5" t="inlineStr">
        <is>
          <t>Stocks DP</t>
        </is>
      </c>
      <c r="E391" s="5" t="inlineStr">
        <is>
          <t>Buy and Sell Stock - IV</t>
        </is>
      </c>
      <c r="F391" s="18" t="inlineStr">
        <is>
          <t>Hard</t>
        </is>
      </c>
      <c r="G391" s="13">
        <f>HYPERLINK("https://leetcode.com/problems/best-time-to-buy-and-sell-stock-iv/", "LeetCode Practice")</f>
        <v/>
      </c>
      <c r="H391" s="20">
        <f>HYPERLINK("https://www.youtube.com/results?search_query=takeUforward+Buy+and+Sell+Stock+-+IV", "YouTube Video")</f>
        <v/>
      </c>
    </row>
    <row r="392" ht="20" customHeight="1">
      <c r="A392" s="7" t="n">
        <v>388</v>
      </c>
      <c r="B392" s="7" t="inlineStr">
        <is>
          <t>Todo</t>
        </is>
      </c>
      <c r="C392" s="8" t="inlineStr">
        <is>
          <t>Step 16: DP</t>
        </is>
      </c>
      <c r="D392" s="8" t="inlineStr">
        <is>
          <t>Stocks DP</t>
        </is>
      </c>
      <c r="E392" s="8" t="inlineStr">
        <is>
          <t>Buy and Sell Stock with Cooldown</t>
        </is>
      </c>
      <c r="F392" s="14" t="inlineStr">
        <is>
          <t>Medium</t>
        </is>
      </c>
      <c r="G392" s="15">
        <f>HYPERLINK("https://leetcode.com/problems/best-time-to-buy-and-sell-stock-with-cooldown/", "LeetCode Practice")</f>
        <v/>
      </c>
      <c r="H392" s="21">
        <f>HYPERLINK("https://www.youtube.com/results?search_query=takeUforward+Buy+and+Sell+Stock+with+Cooldown", "YouTube Video")</f>
        <v/>
      </c>
    </row>
    <row r="393" ht="20" customHeight="1">
      <c r="A393" s="4" t="n">
        <v>389</v>
      </c>
      <c r="B393" s="4" t="inlineStr">
        <is>
          <t>Todo</t>
        </is>
      </c>
      <c r="C393" s="5" t="inlineStr">
        <is>
          <t>Step 16: DP</t>
        </is>
      </c>
      <c r="D393" s="5" t="inlineStr">
        <is>
          <t>Stocks DP</t>
        </is>
      </c>
      <c r="E393" s="5" t="inlineStr">
        <is>
          <t>Buy and Sell Stock with Transaction Fee</t>
        </is>
      </c>
      <c r="F393" s="17" t="inlineStr">
        <is>
          <t>Medium</t>
        </is>
      </c>
      <c r="G393" s="13">
        <f>HYPERLINK("https://leetcode.com/problems/best-time-to-buy-and-sell-stock-with-transaction-fee/", "LeetCode Practice")</f>
        <v/>
      </c>
      <c r="H393" s="20">
        <f>HYPERLINK("https://www.youtube.com/results?search_query=takeUforward+Buy+and+Sell+Stock+with+Transaction+Fee", "YouTube Video")</f>
        <v/>
      </c>
    </row>
    <row r="394" ht="20" customHeight="1">
      <c r="A394" s="7" t="n">
        <v>390</v>
      </c>
      <c r="B394" s="7" t="inlineStr">
        <is>
          <t>Todo</t>
        </is>
      </c>
      <c r="C394" s="8" t="inlineStr">
        <is>
          <t>Step 16: DP</t>
        </is>
      </c>
      <c r="D394" s="8" t="inlineStr">
        <is>
          <t>LIS</t>
        </is>
      </c>
      <c r="E394" s="8" t="inlineStr">
        <is>
          <t>Longest Increasing Subsequence</t>
        </is>
      </c>
      <c r="F394" s="14" t="inlineStr">
        <is>
          <t>Medium</t>
        </is>
      </c>
      <c r="G394" s="15">
        <f>HYPERLINK("https://leetcode.com/problems/longest-increasing-subsequence/", "LeetCode Practice")</f>
        <v/>
      </c>
      <c r="H394" s="21">
        <f>HYPERLINK("https://www.youtube.com/results?search_query=takeUforward+Longest+Increasing+Subsequence", "YouTube Video")</f>
        <v/>
      </c>
    </row>
    <row r="395" ht="20" customHeight="1">
      <c r="A395" s="4" t="n">
        <v>391</v>
      </c>
      <c r="B395" s="4" t="inlineStr">
        <is>
          <t>Todo</t>
        </is>
      </c>
      <c r="C395" s="5" t="inlineStr">
        <is>
          <t>Step 16: DP</t>
        </is>
      </c>
      <c r="D395" s="5" t="inlineStr">
        <is>
          <t>LIS</t>
        </is>
      </c>
      <c r="E395" s="5" t="inlineStr">
        <is>
          <t>Printing Longest Increasing Subsequence</t>
        </is>
      </c>
      <c r="F395" s="17" t="inlineStr">
        <is>
          <t>Medium</t>
        </is>
      </c>
      <c r="G395" s="13">
        <f>HYPERLINK("https://leetcode.com/problems/longest-increasing-subsequence/", "LeetCode Practice")</f>
        <v/>
      </c>
      <c r="H395" s="20">
        <f>HYPERLINK("https://www.youtube.com/results?search_query=takeUforward+Printing+Longest+Increasing+Subsequence", "YouTube Video")</f>
        <v/>
      </c>
    </row>
    <row r="396" ht="20" customHeight="1">
      <c r="A396" s="7" t="n">
        <v>392</v>
      </c>
      <c r="B396" s="7" t="inlineStr">
        <is>
          <t>Todo</t>
        </is>
      </c>
      <c r="C396" s="8" t="inlineStr">
        <is>
          <t>Step 16: DP</t>
        </is>
      </c>
      <c r="D396" s="8" t="inlineStr">
        <is>
          <t>LIS</t>
        </is>
      </c>
      <c r="E396" s="8" t="inlineStr">
        <is>
          <t>Largest Divisible Subset</t>
        </is>
      </c>
      <c r="F396" s="14" t="inlineStr">
        <is>
          <t>Medium</t>
        </is>
      </c>
      <c r="G396" s="15">
        <f>HYPERLINK("https://leetcode.com/problems/largest-divisible-subset/", "LeetCode Practice")</f>
        <v/>
      </c>
      <c r="H396" s="21">
        <f>HYPERLINK("https://www.youtube.com/results?search_query=takeUforward+Largest+Divisible+Subset", "YouTube Video")</f>
        <v/>
      </c>
    </row>
    <row r="397" ht="20" customHeight="1">
      <c r="A397" s="4" t="n">
        <v>393</v>
      </c>
      <c r="B397" s="4" t="inlineStr">
        <is>
          <t>Todo</t>
        </is>
      </c>
      <c r="C397" s="5" t="inlineStr">
        <is>
          <t>Step 16: DP</t>
        </is>
      </c>
      <c r="D397" s="5" t="inlineStr">
        <is>
          <t>LIS</t>
        </is>
      </c>
      <c r="E397" s="5" t="inlineStr">
        <is>
          <t>Longest String Chain</t>
        </is>
      </c>
      <c r="F397" s="17" t="inlineStr">
        <is>
          <t>Medium</t>
        </is>
      </c>
      <c r="G397" s="13">
        <f>HYPERLINK("https://leetcode.com/problems/longest-string-chain/", "LeetCode Practice")</f>
        <v/>
      </c>
      <c r="H397" s="20">
        <f>HYPERLINK("https://www.youtube.com/results?search_query=takeUforward+Longest+String+Chain", "YouTube Video")</f>
        <v/>
      </c>
    </row>
    <row r="398" ht="20" customHeight="1">
      <c r="A398" s="7" t="n">
        <v>394</v>
      </c>
      <c r="B398" s="7" t="inlineStr">
        <is>
          <t>Todo</t>
        </is>
      </c>
      <c r="C398" s="8" t="inlineStr">
        <is>
          <t>Step 16: DP</t>
        </is>
      </c>
      <c r="D398" s="8" t="inlineStr">
        <is>
          <t>LIS</t>
        </is>
      </c>
      <c r="E398" s="8" t="inlineStr">
        <is>
          <t>Longest Bitonic Subsequence</t>
        </is>
      </c>
      <c r="F398" s="14" t="inlineStr">
        <is>
          <t>Medium</t>
        </is>
      </c>
      <c r="G398" s="15">
        <f>HYPERLINK("https://leetcode.com/problems/minimum-number-of-removals-to-make-mountain-array/", "LeetCode Practice")</f>
        <v/>
      </c>
      <c r="H398" s="21">
        <f>HYPERLINK("https://www.youtube.com/results?search_query=takeUforward+Longest+Bitonic+Subsequence", "YouTube Video")</f>
        <v/>
      </c>
    </row>
    <row r="399" ht="20" customHeight="1">
      <c r="A399" s="4" t="n">
        <v>395</v>
      </c>
      <c r="B399" s="4" t="inlineStr">
        <is>
          <t>Todo</t>
        </is>
      </c>
      <c r="C399" s="5" t="inlineStr">
        <is>
          <t>Step 16: DP</t>
        </is>
      </c>
      <c r="D399" s="5" t="inlineStr">
        <is>
          <t>LIS</t>
        </is>
      </c>
      <c r="E399" s="5" t="inlineStr">
        <is>
          <t>Number of Longest Increasing Subsequences</t>
        </is>
      </c>
      <c r="F399" s="17" t="inlineStr">
        <is>
          <t>Medium</t>
        </is>
      </c>
      <c r="G399" s="13">
        <f>HYPERLINK("https://leetcode.com/problems/number-of-longest-increasing-subsequence/", "LeetCode Practice")</f>
        <v/>
      </c>
      <c r="H399" s="20">
        <f>HYPERLINK("https://www.youtube.com/results?search_query=takeUforward+Number+of+Longest+Increasing+Subsequences", "YouTube Video")</f>
        <v/>
      </c>
    </row>
    <row r="400" ht="20" customHeight="1">
      <c r="A400" s="7" t="n">
        <v>396</v>
      </c>
      <c r="B400" s="7" t="inlineStr">
        <is>
          <t>Todo</t>
        </is>
      </c>
      <c r="C400" s="8" t="inlineStr">
        <is>
          <t>Step 16: DP</t>
        </is>
      </c>
      <c r="D400" s="8" t="inlineStr">
        <is>
          <t>MCM / Partition DP</t>
        </is>
      </c>
      <c r="E400" s="8" t="inlineStr">
        <is>
          <t>Matrix Chain Multiplication</t>
        </is>
      </c>
      <c r="F400" s="19" t="inlineStr">
        <is>
          <t>Hard</t>
        </is>
      </c>
      <c r="G400" s="15">
        <f>HYPERLINK("https://leetcode.com/problems/burst-balloons/", "LeetCode Practice")</f>
        <v/>
      </c>
      <c r="H400" s="21">
        <f>HYPERLINK("https://www.youtube.com/results?search_query=takeUforward+Matrix+Chain+Multiplication", "YouTube Video")</f>
        <v/>
      </c>
    </row>
    <row r="401" ht="20" customHeight="1">
      <c r="A401" s="4" t="n">
        <v>397</v>
      </c>
      <c r="B401" s="4" t="inlineStr">
        <is>
          <t>Todo</t>
        </is>
      </c>
      <c r="C401" s="5" t="inlineStr">
        <is>
          <t>Step 16: DP</t>
        </is>
      </c>
      <c r="D401" s="5" t="inlineStr">
        <is>
          <t>MCM / Partition DP</t>
        </is>
      </c>
      <c r="E401" s="5" t="inlineStr">
        <is>
          <t>Minimum Cost to Cut a Stick</t>
        </is>
      </c>
      <c r="F401" s="18" t="inlineStr">
        <is>
          <t>Hard</t>
        </is>
      </c>
      <c r="G401" s="13">
        <f>HYPERLINK("https://leetcode.com/problems/minimum-cost-to-cut-a-stick/", "LeetCode Practice")</f>
        <v/>
      </c>
      <c r="H401" s="20">
        <f>HYPERLINK("https://www.youtube.com/results?search_query=takeUforward+Minimum+Cost+to+Cut+a+Stick", "YouTube Video")</f>
        <v/>
      </c>
    </row>
    <row r="402" ht="20" customHeight="1">
      <c r="A402" s="7" t="n">
        <v>398</v>
      </c>
      <c r="B402" s="7" t="inlineStr">
        <is>
          <t>Todo</t>
        </is>
      </c>
      <c r="C402" s="8" t="inlineStr">
        <is>
          <t>Step 16: DP</t>
        </is>
      </c>
      <c r="D402" s="8" t="inlineStr">
        <is>
          <t>MCM / Partition DP</t>
        </is>
      </c>
      <c r="E402" s="8" t="inlineStr">
        <is>
          <t>Burst Balloons</t>
        </is>
      </c>
      <c r="F402" s="19" t="inlineStr">
        <is>
          <t>Hard</t>
        </is>
      </c>
      <c r="G402" s="15">
        <f>HYPERLINK("https://leetcode.com/problems/burst-balloons/", "LeetCode Practice")</f>
        <v/>
      </c>
      <c r="H402" s="21">
        <f>HYPERLINK("https://www.youtube.com/results?search_query=takeUforward+Burst+Balloons", "YouTube Video")</f>
        <v/>
      </c>
    </row>
    <row r="403" ht="20" customHeight="1">
      <c r="A403" s="4" t="n">
        <v>399</v>
      </c>
      <c r="B403" s="4" t="inlineStr">
        <is>
          <t>Todo</t>
        </is>
      </c>
      <c r="C403" s="5" t="inlineStr">
        <is>
          <t>Step 16: DP</t>
        </is>
      </c>
      <c r="D403" s="5" t="inlineStr">
        <is>
          <t>MCM / Partition DP</t>
        </is>
      </c>
      <c r="E403" s="5" t="inlineStr">
        <is>
          <t>Evaluate Boolean Expression to True</t>
        </is>
      </c>
      <c r="F403" s="18" t="inlineStr">
        <is>
          <t>Hard</t>
        </is>
      </c>
      <c r="G403" s="13">
        <f>HYPERLINK("https://leetcode.com/problems/parsing-a-boolean-expression/", "LeetCode Practice")</f>
        <v/>
      </c>
      <c r="H403" s="20">
        <f>HYPERLINK("https://www.youtube.com/results?search_query=takeUforward+Evaluate+Boolean+Expression+to+True", "YouTube Video")</f>
        <v/>
      </c>
    </row>
    <row r="404" ht="20" customHeight="1">
      <c r="A404" s="7" t="n">
        <v>400</v>
      </c>
      <c r="B404" s="7" t="inlineStr">
        <is>
          <t>Todo</t>
        </is>
      </c>
      <c r="C404" s="8" t="inlineStr">
        <is>
          <t>Step 16: DP</t>
        </is>
      </c>
      <c r="D404" s="8" t="inlineStr">
        <is>
          <t>MCM / Partition DP</t>
        </is>
      </c>
      <c r="E404" s="8" t="inlineStr">
        <is>
          <t>Palindrome Partitioning - II</t>
        </is>
      </c>
      <c r="F404" s="19" t="inlineStr">
        <is>
          <t>Hard</t>
        </is>
      </c>
      <c r="G404" s="15">
        <f>HYPERLINK("https://leetcode.com/problems/palindrome-partitioning-ii/", "LeetCode Practice")</f>
        <v/>
      </c>
      <c r="H404" s="21">
        <f>HYPERLINK("https://www.youtube.com/results?search_query=takeUforward+Palindrome+Partitioning+-+II", "YouTube Video")</f>
        <v/>
      </c>
    </row>
    <row r="405" ht="20" customHeight="1">
      <c r="A405" s="4" t="n">
        <v>401</v>
      </c>
      <c r="B405" s="4" t="inlineStr">
        <is>
          <t>Todo</t>
        </is>
      </c>
      <c r="C405" s="5" t="inlineStr">
        <is>
          <t>Step 16: DP</t>
        </is>
      </c>
      <c r="D405" s="5" t="inlineStr">
        <is>
          <t>MCM / Partition DP</t>
        </is>
      </c>
      <c r="E405" s="5" t="inlineStr">
        <is>
          <t>Partition Array for Maximum Sum</t>
        </is>
      </c>
      <c r="F405" s="17" t="inlineStr">
        <is>
          <t>Medium</t>
        </is>
      </c>
      <c r="G405" s="13">
        <f>HYPERLINK("https://leetcode.com/problems/partition-array-for-maximum-sum/", "LeetCode Practice")</f>
        <v/>
      </c>
      <c r="H405" s="20">
        <f>HYPERLINK("https://www.youtube.com/results?search_query=takeUforward+Partition+Array+for+Maximum+Sum", "YouTube Video")</f>
        <v/>
      </c>
    </row>
    <row r="406" ht="20" customHeight="1">
      <c r="A406" s="7" t="n">
        <v>402</v>
      </c>
      <c r="B406" s="7" t="inlineStr">
        <is>
          <t>Todo</t>
        </is>
      </c>
      <c r="C406" s="8" t="inlineStr">
        <is>
          <t>Step 16: DP</t>
        </is>
      </c>
      <c r="D406" s="8" t="inlineStr">
        <is>
          <t>DP on Squares</t>
        </is>
      </c>
      <c r="E406" s="8" t="inlineStr">
        <is>
          <t>Maximum Rectangle Area with all 1's</t>
        </is>
      </c>
      <c r="F406" s="19" t="inlineStr">
        <is>
          <t>Hard</t>
        </is>
      </c>
      <c r="G406" s="15">
        <f>HYPERLINK("https://leetcode.com/problems/maximal-rectangle/", "LeetCode Practice")</f>
        <v/>
      </c>
      <c r="H406" s="21">
        <f>HYPERLINK("https://www.youtube.com/results?search_query=takeUforward+Maximum+Rectangle+Area+with+all+1%27s", "YouTube Video")</f>
        <v/>
      </c>
    </row>
    <row r="407" ht="20" customHeight="1">
      <c r="A407" s="4" t="n">
        <v>403</v>
      </c>
      <c r="B407" s="4" t="inlineStr">
        <is>
          <t>Todo</t>
        </is>
      </c>
      <c r="C407" s="5" t="inlineStr">
        <is>
          <t>Step 16: DP</t>
        </is>
      </c>
      <c r="D407" s="5" t="inlineStr">
        <is>
          <t>DP on Squares</t>
        </is>
      </c>
      <c r="E407" s="5" t="inlineStr">
        <is>
          <t>Count Square Submatrices with All Ones</t>
        </is>
      </c>
      <c r="F407" s="17" t="inlineStr">
        <is>
          <t>Medium</t>
        </is>
      </c>
      <c r="G407" s="13">
        <f>HYPERLINK("https://leetcode.com/problems/count-square-submatrices-with-all-ones/", "LeetCode Practice")</f>
        <v/>
      </c>
      <c r="H407" s="20">
        <f>HYPERLINK("https://www.youtube.com/results?search_query=takeUforward+Count+Square+Submatrices+with+All+Ones", "YouTube Video")</f>
        <v/>
      </c>
    </row>
    <row r="408" ht="20" customHeight="1">
      <c r="A408" s="7" t="n">
        <v>404</v>
      </c>
      <c r="B408" s="7" t="inlineStr">
        <is>
          <t>Todo</t>
        </is>
      </c>
      <c r="C408" s="8" t="inlineStr">
        <is>
          <t>Step 17: Tries</t>
        </is>
      </c>
      <c r="D408" s="8" t="inlineStr">
        <is>
          <t>Theory &amp; Implementation</t>
        </is>
      </c>
      <c r="E408" s="8" t="inlineStr">
        <is>
          <t>Implement TRIE | INSERT, SEARCH, STARTSWITH</t>
        </is>
      </c>
      <c r="F408" s="14" t="inlineStr">
        <is>
          <t>Medium</t>
        </is>
      </c>
      <c r="G408" s="15">
        <f>HYPERLINK("https://leetcode.com/problems/implement-trie-prefix-tree/", "LeetCode Practice")</f>
        <v/>
      </c>
      <c r="H408" s="21">
        <f>HYPERLINK("https://www.youtube.com/results?search_query=takeUforward+Implement+TRIE+++INSERT%2C+SEARCH%2C+STARTSWITH", "YouTube Video")</f>
        <v/>
      </c>
    </row>
    <row r="409" ht="20" customHeight="1">
      <c r="A409" s="4" t="n">
        <v>405</v>
      </c>
      <c r="B409" s="4" t="inlineStr">
        <is>
          <t>Todo</t>
        </is>
      </c>
      <c r="C409" s="5" t="inlineStr">
        <is>
          <t>Step 17: Tries</t>
        </is>
      </c>
      <c r="D409" s="5" t="inlineStr">
        <is>
          <t>Theory &amp; Implementation</t>
        </is>
      </c>
      <c r="E409" s="5" t="inlineStr">
        <is>
          <t>Implement Trie - II (Prefix tree with counts)</t>
        </is>
      </c>
      <c r="F409" s="17" t="inlineStr">
        <is>
          <t>Medium</t>
        </is>
      </c>
      <c r="G409" s="13">
        <f>HYPERLINK("https://leetcode.com/problems/implement-trie-ii-prefix-tree/", "LeetCode Practice")</f>
        <v/>
      </c>
      <c r="H409" s="20">
        <f>HYPERLINK("https://www.youtube.com/results?search_query=takeUforward+Implement+Trie+-+II+%28Prefix+tree+with+counts%29", "YouTube Video")</f>
        <v/>
      </c>
    </row>
    <row r="410" ht="20" customHeight="1">
      <c r="A410" s="7" t="n">
        <v>406</v>
      </c>
      <c r="B410" s="7" t="inlineStr">
        <is>
          <t>Todo</t>
        </is>
      </c>
      <c r="C410" s="8" t="inlineStr">
        <is>
          <t>Step 17: Tries</t>
        </is>
      </c>
      <c r="D410" s="8" t="inlineStr">
        <is>
          <t>Problems</t>
        </is>
      </c>
      <c r="E410" s="8" t="inlineStr">
        <is>
          <t>Longest Word With All Prefixes</t>
        </is>
      </c>
      <c r="F410" s="14" t="inlineStr">
        <is>
          <t>Medium</t>
        </is>
      </c>
      <c r="G410" s="15">
        <f>HYPERLINK("https://leetcode.com/problems/longest-word-in-dictionary/", "LeetCode Practice")</f>
        <v/>
      </c>
      <c r="H410" s="21">
        <f>HYPERLINK("https://www.youtube.com/results?search_query=takeUforward+Longest+Word+With+All+Prefixes", "YouTube Video")</f>
        <v/>
      </c>
    </row>
    <row r="411" ht="20" customHeight="1">
      <c r="A411" s="4" t="n">
        <v>407</v>
      </c>
      <c r="B411" s="4" t="inlineStr">
        <is>
          <t>Todo</t>
        </is>
      </c>
      <c r="C411" s="5" t="inlineStr">
        <is>
          <t>Step 17: Tries</t>
        </is>
      </c>
      <c r="D411" s="5" t="inlineStr">
        <is>
          <t>Problems</t>
        </is>
      </c>
      <c r="E411" s="5" t="inlineStr">
        <is>
          <t>Number of Distinct Substrings in a String</t>
        </is>
      </c>
      <c r="F411" s="17" t="inlineStr">
        <is>
          <t>Medium</t>
        </is>
      </c>
      <c r="G411" s="13">
        <f>HYPERLINK("https://leetcode.com/problems/distinct-subsequences/", "LeetCode Practice")</f>
        <v/>
      </c>
      <c r="H411" s="20">
        <f>HYPERLINK("https://www.youtube.com/results?search_query=takeUforward+Number+of+Distinct+Substrings+in+a+String", "YouTube Video")</f>
        <v/>
      </c>
    </row>
    <row r="412" ht="20" customHeight="1">
      <c r="A412" s="7" t="n">
        <v>408</v>
      </c>
      <c r="B412" s="7" t="inlineStr">
        <is>
          <t>Todo</t>
        </is>
      </c>
      <c r="C412" s="8" t="inlineStr">
        <is>
          <t>Step 17: Tries</t>
        </is>
      </c>
      <c r="D412" s="8" t="inlineStr">
        <is>
          <t>Problems</t>
        </is>
      </c>
      <c r="E412" s="8" t="inlineStr">
        <is>
          <t>Bit Prerequisites for TRIE Problems</t>
        </is>
      </c>
      <c r="F412" s="16" t="inlineStr">
        <is>
          <t>Easy</t>
        </is>
      </c>
      <c r="G412" s="15">
        <f>HYPERLINK("https://leetcode.com/problems/single-number/", "LeetCode Practice")</f>
        <v/>
      </c>
      <c r="H412" s="21">
        <f>HYPERLINK("https://www.youtube.com/results?search_query=takeUforward+Bit+Prerequisites+for+TRIE+Problems", "YouTube Video")</f>
        <v/>
      </c>
    </row>
    <row r="413" ht="20" customHeight="1">
      <c r="A413" s="4" t="n">
        <v>409</v>
      </c>
      <c r="B413" s="4" t="inlineStr">
        <is>
          <t>Todo</t>
        </is>
      </c>
      <c r="C413" s="5" t="inlineStr">
        <is>
          <t>Step 17: Tries</t>
        </is>
      </c>
      <c r="D413" s="5" t="inlineStr">
        <is>
          <t>Problems</t>
        </is>
      </c>
      <c r="E413" s="5" t="inlineStr">
        <is>
          <t>Maximum XOR of Two Numbers in an Array</t>
        </is>
      </c>
      <c r="F413" s="17" t="inlineStr">
        <is>
          <t>Medium</t>
        </is>
      </c>
      <c r="G413" s="13">
        <f>HYPERLINK("https://leetcode.com/problems/maximum-xor-of-two-numbers-in-an-array/", "LeetCode Practice")</f>
        <v/>
      </c>
      <c r="H413" s="20">
        <f>HYPERLINK("https://www.youtube.com/results?search_query=takeUforward+Maximum+XOR+of+Two+Numbers+in+an+Array", "YouTube Video")</f>
        <v/>
      </c>
    </row>
    <row r="414" ht="20" customHeight="1">
      <c r="A414" s="7" t="n">
        <v>410</v>
      </c>
      <c r="B414" s="7" t="inlineStr">
        <is>
          <t>Todo</t>
        </is>
      </c>
      <c r="C414" s="8" t="inlineStr">
        <is>
          <t>Step 17: Tries</t>
        </is>
      </c>
      <c r="D414" s="8" t="inlineStr">
        <is>
          <t>Problems</t>
        </is>
      </c>
      <c r="E414" s="8" t="inlineStr">
        <is>
          <t>Maximum XOR With an Element From Array</t>
        </is>
      </c>
      <c r="F414" s="19" t="inlineStr">
        <is>
          <t>Hard</t>
        </is>
      </c>
      <c r="G414" s="15">
        <f>HYPERLINK("https://leetcode.com/problems/maximum-xor-with-an-element-from-array/", "LeetCode Practice")</f>
        <v/>
      </c>
      <c r="H414" s="21">
        <f>HYPERLINK("https://www.youtube.com/results?search_query=takeUforward+Maximum+XOR+With+an+Element+From+Array", "YouTube Video")</f>
        <v/>
      </c>
    </row>
    <row r="415" ht="20" customHeight="1">
      <c r="A415" s="4" t="n">
        <v>411</v>
      </c>
      <c r="B415" s="4" t="inlineStr">
        <is>
          <t>Todo</t>
        </is>
      </c>
      <c r="C415" s="5" t="inlineStr">
        <is>
          <t>Step 18: Advanced Strings</t>
        </is>
      </c>
      <c r="D415" s="5" t="inlineStr">
        <is>
          <t>String Matching</t>
        </is>
      </c>
      <c r="E415" s="5" t="inlineStr">
        <is>
          <t>Z-Function</t>
        </is>
      </c>
      <c r="F415" s="18" t="inlineStr">
        <is>
          <t>Hard</t>
        </is>
      </c>
      <c r="G415" s="13">
        <f>HYPERLINK("https://leetcode.com/problems/sum-of-scores-of-built-strings/", "LeetCode Practice")</f>
        <v/>
      </c>
      <c r="H415" s="20">
        <f>HYPERLINK("https://www.youtube.com/results?search_query=takeUforward+Z-Function", "YouTube Video")</f>
        <v/>
      </c>
    </row>
    <row r="416" ht="20" customHeight="1">
      <c r="A416" s="7" t="n">
        <v>412</v>
      </c>
      <c r="B416" s="7" t="inlineStr">
        <is>
          <t>Todo</t>
        </is>
      </c>
      <c r="C416" s="8" t="inlineStr">
        <is>
          <t>Step 18: Advanced Strings</t>
        </is>
      </c>
      <c r="D416" s="8" t="inlineStr">
        <is>
          <t>String Matching</t>
        </is>
      </c>
      <c r="E416" s="8" t="inlineStr">
        <is>
          <t>KMP Algorithm / Find the Index of First Occurrence</t>
        </is>
      </c>
      <c r="F416" s="14" t="inlineStr">
        <is>
          <t>Medium</t>
        </is>
      </c>
      <c r="G416" s="15">
        <f>HYPERLINK("https://leetcode.com/problems/find-the-index-of-the-first-occurrence-in-a-string/", "LeetCode Practice")</f>
        <v/>
      </c>
      <c r="H416" s="21">
        <f>HYPERLINK("https://www.youtube.com/results?search_query=takeUforward+KMP+Algorithm+++Find+the+Index+of+First+Occurrence", "YouTube Video")</f>
        <v/>
      </c>
    </row>
    <row r="417" ht="20" customHeight="1">
      <c r="A417" s="4" t="n">
        <v>413</v>
      </c>
      <c r="B417" s="4" t="inlineStr">
        <is>
          <t>Todo</t>
        </is>
      </c>
      <c r="C417" s="5" t="inlineStr">
        <is>
          <t>Step 18: Advanced Strings</t>
        </is>
      </c>
      <c r="D417" s="5" t="inlineStr">
        <is>
          <t>String Matching</t>
        </is>
      </c>
      <c r="E417" s="5" t="inlineStr">
        <is>
          <t>Shortest Palindrome</t>
        </is>
      </c>
      <c r="F417" s="18" t="inlineStr">
        <is>
          <t>Hard</t>
        </is>
      </c>
      <c r="G417" s="13">
        <f>HYPERLINK("https://leetcode.com/problems/shortest-palindrome/", "LeetCode Practice")</f>
        <v/>
      </c>
      <c r="H417" s="20">
        <f>HYPERLINK("https://www.youtube.com/results?search_query=takeUforward+Shortest+Palindrome", "YouTube Video")</f>
        <v/>
      </c>
    </row>
    <row r="418" ht="20" customHeight="1">
      <c r="A418" s="7" t="n">
        <v>414</v>
      </c>
      <c r="B418" s="7" t="inlineStr">
        <is>
          <t>Todo</t>
        </is>
      </c>
      <c r="C418" s="8" t="inlineStr">
        <is>
          <t>Step 18: Advanced Strings</t>
        </is>
      </c>
      <c r="D418" s="8" t="inlineStr">
        <is>
          <t>String Matching</t>
        </is>
      </c>
      <c r="E418" s="8" t="inlineStr">
        <is>
          <t>Repeated String Match (Rabin-Karp)</t>
        </is>
      </c>
      <c r="F418" s="14" t="inlineStr">
        <is>
          <t>Medium</t>
        </is>
      </c>
      <c r="G418" s="15">
        <f>HYPERLINK("https://leetcode.com/problems/repeated-string-match/", "LeetCode Practice")</f>
        <v/>
      </c>
      <c r="H418" s="21">
        <f>HYPERLINK("https://www.youtube.com/results?search_query=takeUforward+Repeated+String+Match+%28Rabin-Karp%29", "YouTube Video")</f>
        <v/>
      </c>
    </row>
    <row r="419" ht="20" customHeight="1">
      <c r="A419" s="4" t="n">
        <v>415</v>
      </c>
      <c r="B419" s="4" t="inlineStr">
        <is>
          <t>Todo</t>
        </is>
      </c>
      <c r="C419" s="5" t="inlineStr">
        <is>
          <t>Step 18: Advanced Strings</t>
        </is>
      </c>
      <c r="D419" s="5" t="inlineStr">
        <is>
          <t>String Matching</t>
        </is>
      </c>
      <c r="E419" s="5" t="inlineStr">
        <is>
          <t>Rabin Karp Algorithm</t>
        </is>
      </c>
      <c r="F419" s="18" t="inlineStr">
        <is>
          <t>Hard</t>
        </is>
      </c>
      <c r="G419" s="13">
        <f>HYPERLINK("https://leetcode.com/problems/find-all-good-strings/", "LeetCode Practice")</f>
        <v/>
      </c>
      <c r="H419" s="20">
        <f>HYPERLINK("https://www.youtube.com/results?search_query=takeUforward+Rabin+Karp+Algorithm", "YouTube Video")</f>
        <v/>
      </c>
    </row>
    <row r="420" ht="20" customHeight="1">
      <c r="A420" s="7" t="n">
        <v>416</v>
      </c>
      <c r="B420" s="7" t="inlineStr">
        <is>
          <t>Todo</t>
        </is>
      </c>
      <c r="C420" s="8" t="inlineStr">
        <is>
          <t>Step 18: Advanced Strings</t>
        </is>
      </c>
      <c r="D420" s="8" t="inlineStr">
        <is>
          <t>String Matching</t>
        </is>
      </c>
      <c r="E420" s="8" t="inlineStr">
        <is>
          <t>Count and Say</t>
        </is>
      </c>
      <c r="F420" s="14" t="inlineStr">
        <is>
          <t>Medium</t>
        </is>
      </c>
      <c r="G420" s="15">
        <f>HYPERLINK("https://leetcode.com/problems/count-and-say/", "LeetCode Practice")</f>
        <v/>
      </c>
      <c r="H420" s="21">
        <f>HYPERLINK("https://www.youtube.com/results?search_query=takeUforward+Count+and+Say", "YouTube Video")</f>
        <v/>
      </c>
    </row>
    <row r="421" ht="20" customHeight="1">
      <c r="A421" s="4" t="n">
        <v>417</v>
      </c>
      <c r="B421" s="4" t="inlineStr">
        <is>
          <t>Todo</t>
        </is>
      </c>
      <c r="C421" s="5" t="inlineStr">
        <is>
          <t>Step 1: Learn the Basics</t>
        </is>
      </c>
      <c r="D421" s="5" t="inlineStr">
        <is>
          <t>Patterns</t>
        </is>
      </c>
      <c r="E421" s="5" t="inlineStr">
        <is>
          <t>Pattern-1: Star &amp; Number Patterns</t>
        </is>
      </c>
      <c r="F421" s="12" t="inlineStr">
        <is>
          <t>Easy</t>
        </is>
      </c>
      <c r="G421" s="13">
        <f>HYPERLINK("https://leetcode.com/problems/print-in-order/", "LeetCode Practice")</f>
        <v/>
      </c>
      <c r="H421" s="20">
        <f>HYPERLINK("https://www.youtube.com/results?search_query=takeUforward+Pattern-1%3A+Star+%26+Number+Patterns", "YouTube Video")</f>
        <v/>
      </c>
    </row>
    <row r="422" ht="20" customHeight="1">
      <c r="A422" s="7" t="n">
        <v>418</v>
      </c>
      <c r="B422" s="7" t="inlineStr">
        <is>
          <t>Todo</t>
        </is>
      </c>
      <c r="C422" s="8" t="inlineStr">
        <is>
          <t>Step 1: Learn the Basics</t>
        </is>
      </c>
      <c r="D422" s="8" t="inlineStr">
        <is>
          <t>Patterns</t>
        </is>
      </c>
      <c r="E422" s="8" t="inlineStr">
        <is>
          <t>Pattern-2: Star &amp; Number Patterns</t>
        </is>
      </c>
      <c r="F422" s="16" t="inlineStr">
        <is>
          <t>Easy</t>
        </is>
      </c>
      <c r="G422" s="15">
        <f>HYPERLINK("https://leetcode.com/problems/print-in-order/", "LeetCode Practice")</f>
        <v/>
      </c>
      <c r="H422" s="21">
        <f>HYPERLINK("https://www.youtube.com/results?search_query=takeUforward+Pattern-2%3A+Star+%26+Number+Patterns", "YouTube Video")</f>
        <v/>
      </c>
    </row>
    <row r="423" ht="20" customHeight="1">
      <c r="A423" s="4" t="n">
        <v>419</v>
      </c>
      <c r="B423" s="4" t="inlineStr">
        <is>
          <t>Todo</t>
        </is>
      </c>
      <c r="C423" s="5" t="inlineStr">
        <is>
          <t>Step 1: Learn the Basics</t>
        </is>
      </c>
      <c r="D423" s="5" t="inlineStr">
        <is>
          <t>Patterns</t>
        </is>
      </c>
      <c r="E423" s="5" t="inlineStr">
        <is>
          <t>Pattern-3: Star &amp; Number Patterns</t>
        </is>
      </c>
      <c r="F423" s="12" t="inlineStr">
        <is>
          <t>Easy</t>
        </is>
      </c>
      <c r="G423" s="13">
        <f>HYPERLINK("https://leetcode.com/problems/print-in-order/", "LeetCode Practice")</f>
        <v/>
      </c>
      <c r="H423" s="20">
        <f>HYPERLINK("https://www.youtube.com/results?search_query=takeUforward+Pattern-3%3A+Star+%26+Number+Patterns", "YouTube Video")</f>
        <v/>
      </c>
    </row>
    <row r="424" ht="20" customHeight="1">
      <c r="A424" s="7" t="n">
        <v>420</v>
      </c>
      <c r="B424" s="7" t="inlineStr">
        <is>
          <t>Todo</t>
        </is>
      </c>
      <c r="C424" s="8" t="inlineStr">
        <is>
          <t>Step 1: Learn the Basics</t>
        </is>
      </c>
      <c r="D424" s="8" t="inlineStr">
        <is>
          <t>Patterns</t>
        </is>
      </c>
      <c r="E424" s="8" t="inlineStr">
        <is>
          <t>Pattern-4: Star &amp; Number Patterns</t>
        </is>
      </c>
      <c r="F424" s="16" t="inlineStr">
        <is>
          <t>Easy</t>
        </is>
      </c>
      <c r="G424" s="15">
        <f>HYPERLINK("https://leetcode.com/problems/print-in-order/", "LeetCode Practice")</f>
        <v/>
      </c>
      <c r="H424" s="21">
        <f>HYPERLINK("https://www.youtube.com/results?search_query=takeUforward+Pattern-4%3A+Star+%26+Number+Patterns", "YouTube Video")</f>
        <v/>
      </c>
    </row>
    <row r="425" ht="20" customHeight="1">
      <c r="A425" s="4" t="n">
        <v>421</v>
      </c>
      <c r="B425" s="4" t="inlineStr">
        <is>
          <t>Todo</t>
        </is>
      </c>
      <c r="C425" s="5" t="inlineStr">
        <is>
          <t>Step 1: Learn the Basics</t>
        </is>
      </c>
      <c r="D425" s="5" t="inlineStr">
        <is>
          <t>Patterns</t>
        </is>
      </c>
      <c r="E425" s="5" t="inlineStr">
        <is>
          <t>Pattern-5: Star &amp; Number Patterns</t>
        </is>
      </c>
      <c r="F425" s="12" t="inlineStr">
        <is>
          <t>Easy</t>
        </is>
      </c>
      <c r="G425" s="13">
        <f>HYPERLINK("https://leetcode.com/problems/print-in-order/", "LeetCode Practice")</f>
        <v/>
      </c>
      <c r="H425" s="20">
        <f>HYPERLINK("https://www.youtube.com/results?search_query=takeUforward+Pattern-5%3A+Star+%26+Number+Patterns", "YouTube Video")</f>
        <v/>
      </c>
    </row>
    <row r="426" ht="20" customHeight="1">
      <c r="A426" s="7" t="n">
        <v>422</v>
      </c>
      <c r="B426" s="7" t="inlineStr">
        <is>
          <t>Todo</t>
        </is>
      </c>
      <c r="C426" s="8" t="inlineStr">
        <is>
          <t>Step 1: Learn the Basics</t>
        </is>
      </c>
      <c r="D426" s="8" t="inlineStr">
        <is>
          <t>Patterns</t>
        </is>
      </c>
      <c r="E426" s="8" t="inlineStr">
        <is>
          <t>Pattern-6: Star &amp; Number Patterns</t>
        </is>
      </c>
      <c r="F426" s="16" t="inlineStr">
        <is>
          <t>Easy</t>
        </is>
      </c>
      <c r="G426" s="15">
        <f>HYPERLINK("https://leetcode.com/problems/print-in-order/", "LeetCode Practice")</f>
        <v/>
      </c>
      <c r="H426" s="21">
        <f>HYPERLINK("https://www.youtube.com/results?search_query=takeUforward+Pattern-6%3A+Star+%26+Number+Patterns", "YouTube Video")</f>
        <v/>
      </c>
    </row>
    <row r="427" ht="20" customHeight="1">
      <c r="A427" s="4" t="n">
        <v>423</v>
      </c>
      <c r="B427" s="4" t="inlineStr">
        <is>
          <t>Todo</t>
        </is>
      </c>
      <c r="C427" s="5" t="inlineStr">
        <is>
          <t>Step 1: Learn the Basics</t>
        </is>
      </c>
      <c r="D427" s="5" t="inlineStr">
        <is>
          <t>Patterns</t>
        </is>
      </c>
      <c r="E427" s="5" t="inlineStr">
        <is>
          <t>Pattern-7: Star &amp; Number Patterns</t>
        </is>
      </c>
      <c r="F427" s="12" t="inlineStr">
        <is>
          <t>Easy</t>
        </is>
      </c>
      <c r="G427" s="13">
        <f>HYPERLINK("https://leetcode.com/problems/print-in-order/", "LeetCode Practice")</f>
        <v/>
      </c>
      <c r="H427" s="20">
        <f>HYPERLINK("https://www.youtube.com/results?search_query=takeUforward+Pattern-7%3A+Star+%26+Number+Patterns", "YouTube Video")</f>
        <v/>
      </c>
    </row>
    <row r="428" ht="20" customHeight="1">
      <c r="A428" s="7" t="n">
        <v>424</v>
      </c>
      <c r="B428" s="7" t="inlineStr">
        <is>
          <t>Todo</t>
        </is>
      </c>
      <c r="C428" s="8" t="inlineStr">
        <is>
          <t>Step 1: Learn the Basics</t>
        </is>
      </c>
      <c r="D428" s="8" t="inlineStr">
        <is>
          <t>Patterns</t>
        </is>
      </c>
      <c r="E428" s="8" t="inlineStr">
        <is>
          <t>Pattern-8: Star &amp; Number Patterns</t>
        </is>
      </c>
      <c r="F428" s="16" t="inlineStr">
        <is>
          <t>Easy</t>
        </is>
      </c>
      <c r="G428" s="15">
        <f>HYPERLINK("https://leetcode.com/problems/print-in-order/", "LeetCode Practice")</f>
        <v/>
      </c>
      <c r="H428" s="21">
        <f>HYPERLINK("https://www.youtube.com/results?search_query=takeUforward+Pattern-8%3A+Star+%26+Number+Patterns", "YouTube Video")</f>
        <v/>
      </c>
    </row>
    <row r="429" ht="20" customHeight="1">
      <c r="A429" s="4" t="n">
        <v>425</v>
      </c>
      <c r="B429" s="4" t="inlineStr">
        <is>
          <t>Todo</t>
        </is>
      </c>
      <c r="C429" s="5" t="inlineStr">
        <is>
          <t>Step 1: Learn the Basics</t>
        </is>
      </c>
      <c r="D429" s="5" t="inlineStr">
        <is>
          <t>Patterns</t>
        </is>
      </c>
      <c r="E429" s="5" t="inlineStr">
        <is>
          <t>Pattern-9: Star &amp; Number Patterns</t>
        </is>
      </c>
      <c r="F429" s="12" t="inlineStr">
        <is>
          <t>Easy</t>
        </is>
      </c>
      <c r="G429" s="13">
        <f>HYPERLINK("https://leetcode.com/problems/print-in-order/", "LeetCode Practice")</f>
        <v/>
      </c>
      <c r="H429" s="20">
        <f>HYPERLINK("https://www.youtube.com/results?search_query=takeUforward+Pattern-9%3A+Star+%26+Number+Patterns", "YouTube Video")</f>
        <v/>
      </c>
    </row>
    <row r="430" ht="20" customHeight="1">
      <c r="A430" s="7" t="n">
        <v>426</v>
      </c>
      <c r="B430" s="7" t="inlineStr">
        <is>
          <t>Todo</t>
        </is>
      </c>
      <c r="C430" s="8" t="inlineStr">
        <is>
          <t>Step 1: Learn the Basics</t>
        </is>
      </c>
      <c r="D430" s="8" t="inlineStr">
        <is>
          <t>Patterns</t>
        </is>
      </c>
      <c r="E430" s="8" t="inlineStr">
        <is>
          <t>Pattern-10: Star &amp; Number Patterns</t>
        </is>
      </c>
      <c r="F430" s="16" t="inlineStr">
        <is>
          <t>Easy</t>
        </is>
      </c>
      <c r="G430" s="15">
        <f>HYPERLINK("https://leetcode.com/problems/print-in-order/", "LeetCode Practice")</f>
        <v/>
      </c>
      <c r="H430" s="21">
        <f>HYPERLINK("https://www.youtube.com/results?search_query=takeUforward+Pattern-10%3A+Star+%26+Number+Patterns", "YouTube Video")</f>
        <v/>
      </c>
    </row>
    <row r="431" ht="20" customHeight="1">
      <c r="A431" s="4" t="n">
        <v>427</v>
      </c>
      <c r="B431" s="4" t="inlineStr">
        <is>
          <t>Todo</t>
        </is>
      </c>
      <c r="C431" s="5" t="inlineStr">
        <is>
          <t>Step 1: Learn the Basics</t>
        </is>
      </c>
      <c r="D431" s="5" t="inlineStr">
        <is>
          <t>Patterns</t>
        </is>
      </c>
      <c r="E431" s="5" t="inlineStr">
        <is>
          <t>Pattern-11: Star &amp; Number Patterns</t>
        </is>
      </c>
      <c r="F431" s="12" t="inlineStr">
        <is>
          <t>Easy</t>
        </is>
      </c>
      <c r="G431" s="13">
        <f>HYPERLINK("https://leetcode.com/problems/print-in-order/", "LeetCode Practice")</f>
        <v/>
      </c>
      <c r="H431" s="20">
        <f>HYPERLINK("https://www.youtube.com/results?search_query=takeUforward+Pattern-11%3A+Star+%26+Number+Patterns", "YouTube Video")</f>
        <v/>
      </c>
    </row>
    <row r="432" ht="20" customHeight="1">
      <c r="A432" s="7" t="n">
        <v>428</v>
      </c>
      <c r="B432" s="7" t="inlineStr">
        <is>
          <t>Todo</t>
        </is>
      </c>
      <c r="C432" s="8" t="inlineStr">
        <is>
          <t>Step 1: Learn the Basics</t>
        </is>
      </c>
      <c r="D432" s="8" t="inlineStr">
        <is>
          <t>Patterns</t>
        </is>
      </c>
      <c r="E432" s="8" t="inlineStr">
        <is>
          <t>Pattern-12: Star &amp; Number Patterns</t>
        </is>
      </c>
      <c r="F432" s="16" t="inlineStr">
        <is>
          <t>Easy</t>
        </is>
      </c>
      <c r="G432" s="15">
        <f>HYPERLINK("https://leetcode.com/problems/print-in-order/", "LeetCode Practice")</f>
        <v/>
      </c>
      <c r="H432" s="21">
        <f>HYPERLINK("https://www.youtube.com/results?search_query=takeUforward+Pattern-12%3A+Star+%26+Number+Patterns", "YouTube Video")</f>
        <v/>
      </c>
    </row>
    <row r="433" ht="20" customHeight="1">
      <c r="A433" s="4" t="n">
        <v>429</v>
      </c>
      <c r="B433" s="4" t="inlineStr">
        <is>
          <t>Todo</t>
        </is>
      </c>
      <c r="C433" s="5" t="inlineStr">
        <is>
          <t>Step 1: Learn the Basics</t>
        </is>
      </c>
      <c r="D433" s="5" t="inlineStr">
        <is>
          <t>Patterns</t>
        </is>
      </c>
      <c r="E433" s="5" t="inlineStr">
        <is>
          <t>Pattern-13: Star &amp; Number Patterns</t>
        </is>
      </c>
      <c r="F433" s="12" t="inlineStr">
        <is>
          <t>Easy</t>
        </is>
      </c>
      <c r="G433" s="13">
        <f>HYPERLINK("https://leetcode.com/problems/print-in-order/", "LeetCode Practice")</f>
        <v/>
      </c>
      <c r="H433" s="20">
        <f>HYPERLINK("https://www.youtube.com/results?search_query=takeUforward+Pattern-13%3A+Star+%26+Number+Patterns", "YouTube Video")</f>
        <v/>
      </c>
    </row>
    <row r="434" ht="20" customHeight="1">
      <c r="A434" s="7" t="n">
        <v>430</v>
      </c>
      <c r="B434" s="7" t="inlineStr">
        <is>
          <t>Todo</t>
        </is>
      </c>
      <c r="C434" s="8" t="inlineStr">
        <is>
          <t>Step 1: Learn the Basics</t>
        </is>
      </c>
      <c r="D434" s="8" t="inlineStr">
        <is>
          <t>Patterns</t>
        </is>
      </c>
      <c r="E434" s="8" t="inlineStr">
        <is>
          <t>Pattern-14: Star &amp; Number Patterns</t>
        </is>
      </c>
      <c r="F434" s="16" t="inlineStr">
        <is>
          <t>Easy</t>
        </is>
      </c>
      <c r="G434" s="15">
        <f>HYPERLINK("https://leetcode.com/problems/print-in-order/", "LeetCode Practice")</f>
        <v/>
      </c>
      <c r="H434" s="21">
        <f>HYPERLINK("https://www.youtube.com/results?search_query=takeUforward+Pattern-14%3A+Star+%26+Number+Patterns", "YouTube Video")</f>
        <v/>
      </c>
    </row>
    <row r="435" ht="20" customHeight="1">
      <c r="A435" s="4" t="n">
        <v>431</v>
      </c>
      <c r="B435" s="4" t="inlineStr">
        <is>
          <t>Todo</t>
        </is>
      </c>
      <c r="C435" s="5" t="inlineStr">
        <is>
          <t>Step 1: Learn the Basics</t>
        </is>
      </c>
      <c r="D435" s="5" t="inlineStr">
        <is>
          <t>Patterns</t>
        </is>
      </c>
      <c r="E435" s="5" t="inlineStr">
        <is>
          <t>Pattern-15: Star &amp; Number Patterns</t>
        </is>
      </c>
      <c r="F435" s="12" t="inlineStr">
        <is>
          <t>Easy</t>
        </is>
      </c>
      <c r="G435" s="13">
        <f>HYPERLINK("https://leetcode.com/problems/print-in-order/", "LeetCode Practice")</f>
        <v/>
      </c>
      <c r="H435" s="20">
        <f>HYPERLINK("https://www.youtube.com/results?search_query=takeUforward+Pattern-15%3A+Star+%26+Number+Patterns", "YouTube Video")</f>
        <v/>
      </c>
    </row>
    <row r="436" ht="20" customHeight="1">
      <c r="A436" s="7" t="n">
        <v>432</v>
      </c>
      <c r="B436" s="7" t="inlineStr">
        <is>
          <t>Todo</t>
        </is>
      </c>
      <c r="C436" s="8" t="inlineStr">
        <is>
          <t>Step 1: Learn the Basics</t>
        </is>
      </c>
      <c r="D436" s="8" t="inlineStr">
        <is>
          <t>Patterns</t>
        </is>
      </c>
      <c r="E436" s="8" t="inlineStr">
        <is>
          <t>Pattern-16: Star &amp; Number Patterns</t>
        </is>
      </c>
      <c r="F436" s="16" t="inlineStr">
        <is>
          <t>Easy</t>
        </is>
      </c>
      <c r="G436" s="15">
        <f>HYPERLINK("https://leetcode.com/problems/print-in-order/", "LeetCode Practice")</f>
        <v/>
      </c>
      <c r="H436" s="21">
        <f>HYPERLINK("https://www.youtube.com/results?search_query=takeUforward+Pattern-16%3A+Star+%26+Number+Patterns", "YouTube Video")</f>
        <v/>
      </c>
    </row>
    <row r="437" ht="20" customHeight="1">
      <c r="A437" s="4" t="n">
        <v>433</v>
      </c>
      <c r="B437" s="4" t="inlineStr">
        <is>
          <t>Todo</t>
        </is>
      </c>
      <c r="C437" s="5" t="inlineStr">
        <is>
          <t>Step 1: Learn the Basics</t>
        </is>
      </c>
      <c r="D437" s="5" t="inlineStr">
        <is>
          <t>Patterns</t>
        </is>
      </c>
      <c r="E437" s="5" t="inlineStr">
        <is>
          <t>Pattern-17: Star &amp; Number Patterns</t>
        </is>
      </c>
      <c r="F437" s="12" t="inlineStr">
        <is>
          <t>Easy</t>
        </is>
      </c>
      <c r="G437" s="13">
        <f>HYPERLINK("https://leetcode.com/problems/print-in-order/", "LeetCode Practice")</f>
        <v/>
      </c>
      <c r="H437" s="20">
        <f>HYPERLINK("https://www.youtube.com/results?search_query=takeUforward+Pattern-17%3A+Star+%26+Number+Patterns", "YouTube Video")</f>
        <v/>
      </c>
    </row>
    <row r="438" ht="20" customHeight="1">
      <c r="A438" s="7" t="n">
        <v>434</v>
      </c>
      <c r="B438" s="7" t="inlineStr">
        <is>
          <t>Todo</t>
        </is>
      </c>
      <c r="C438" s="8" t="inlineStr">
        <is>
          <t>Step 1: Learn the Basics</t>
        </is>
      </c>
      <c r="D438" s="8" t="inlineStr">
        <is>
          <t>Patterns</t>
        </is>
      </c>
      <c r="E438" s="8" t="inlineStr">
        <is>
          <t>Pattern-18: Star &amp; Number Patterns</t>
        </is>
      </c>
      <c r="F438" s="16" t="inlineStr">
        <is>
          <t>Easy</t>
        </is>
      </c>
      <c r="G438" s="15">
        <f>HYPERLINK("https://leetcode.com/problems/print-in-order/", "LeetCode Practice")</f>
        <v/>
      </c>
      <c r="H438" s="21">
        <f>HYPERLINK("https://www.youtube.com/results?search_query=takeUforward+Pattern-18%3A+Star+%26+Number+Patterns", "YouTube Video")</f>
        <v/>
      </c>
    </row>
    <row r="439" ht="20" customHeight="1">
      <c r="A439" s="4" t="n">
        <v>435</v>
      </c>
      <c r="B439" s="4" t="inlineStr">
        <is>
          <t>Todo</t>
        </is>
      </c>
      <c r="C439" s="5" t="inlineStr">
        <is>
          <t>Step 1: Learn the Basics</t>
        </is>
      </c>
      <c r="D439" s="5" t="inlineStr">
        <is>
          <t>Patterns</t>
        </is>
      </c>
      <c r="E439" s="5" t="inlineStr">
        <is>
          <t>Pattern-19: Star &amp; Number Patterns</t>
        </is>
      </c>
      <c r="F439" s="12" t="inlineStr">
        <is>
          <t>Easy</t>
        </is>
      </c>
      <c r="G439" s="13">
        <f>HYPERLINK("https://leetcode.com/problems/print-in-order/", "LeetCode Practice")</f>
        <v/>
      </c>
      <c r="H439" s="20">
        <f>HYPERLINK("https://www.youtube.com/results?search_query=takeUforward+Pattern-19%3A+Star+%26+Number+Patterns", "YouTube Video")</f>
        <v/>
      </c>
    </row>
    <row r="440" ht="20" customHeight="1">
      <c r="A440" s="7" t="n">
        <v>436</v>
      </c>
      <c r="B440" s="7" t="inlineStr">
        <is>
          <t>Todo</t>
        </is>
      </c>
      <c r="C440" s="8" t="inlineStr">
        <is>
          <t>Step 1: Learn the Basics</t>
        </is>
      </c>
      <c r="D440" s="8" t="inlineStr">
        <is>
          <t>Patterns</t>
        </is>
      </c>
      <c r="E440" s="8" t="inlineStr">
        <is>
          <t>Pattern-20: Star &amp; Number Patterns</t>
        </is>
      </c>
      <c r="F440" s="16" t="inlineStr">
        <is>
          <t>Easy</t>
        </is>
      </c>
      <c r="G440" s="15">
        <f>HYPERLINK("https://leetcode.com/problems/print-in-order/", "LeetCode Practice")</f>
        <v/>
      </c>
      <c r="H440" s="21">
        <f>HYPERLINK("https://www.youtube.com/results?search_query=takeUforward+Pattern-20%3A+Star+%26+Number+Patterns", "YouTube Video")</f>
        <v/>
      </c>
    </row>
    <row r="441" ht="20" customHeight="1">
      <c r="A441" s="4" t="n">
        <v>437</v>
      </c>
      <c r="B441" s="4" t="inlineStr">
        <is>
          <t>Todo</t>
        </is>
      </c>
      <c r="C441" s="5" t="inlineStr">
        <is>
          <t>Step 1: Learn the Basics</t>
        </is>
      </c>
      <c r="D441" s="5" t="inlineStr">
        <is>
          <t>Patterns</t>
        </is>
      </c>
      <c r="E441" s="5" t="inlineStr">
        <is>
          <t>Pattern-21: Star &amp; Number Patterns</t>
        </is>
      </c>
      <c r="F441" s="12" t="inlineStr">
        <is>
          <t>Easy</t>
        </is>
      </c>
      <c r="G441" s="13">
        <f>HYPERLINK("https://leetcode.com/problems/print-in-order/", "LeetCode Practice")</f>
        <v/>
      </c>
      <c r="H441" s="20">
        <f>HYPERLINK("https://www.youtube.com/results?search_query=takeUforward+Pattern-21%3A+Star+%26+Number+Patterns", "YouTube Video")</f>
        <v/>
      </c>
    </row>
    <row r="442" ht="20" customHeight="1">
      <c r="A442" s="7" t="n">
        <v>438</v>
      </c>
      <c r="B442" s="7" t="inlineStr">
        <is>
          <t>Todo</t>
        </is>
      </c>
      <c r="C442" s="8" t="inlineStr">
        <is>
          <t>Step 1: Learn the Basics</t>
        </is>
      </c>
      <c r="D442" s="8" t="inlineStr">
        <is>
          <t>Patterns</t>
        </is>
      </c>
      <c r="E442" s="8" t="inlineStr">
        <is>
          <t>Pattern-22: Star &amp; Number Patterns</t>
        </is>
      </c>
      <c r="F442" s="16" t="inlineStr">
        <is>
          <t>Easy</t>
        </is>
      </c>
      <c r="G442" s="15">
        <f>HYPERLINK("https://leetcode.com/problems/print-in-order/", "LeetCode Practice")</f>
        <v/>
      </c>
      <c r="H442" s="21">
        <f>HYPERLINK("https://www.youtube.com/results?search_query=takeUforward+Pattern-22%3A+Star+%26+Number+Patterns", "YouTube Video")</f>
        <v/>
      </c>
    </row>
    <row r="443" ht="20" customHeight="1">
      <c r="A443" s="4" t="n">
        <v>439</v>
      </c>
      <c r="B443" s="4" t="inlineStr">
        <is>
          <t>Todo</t>
        </is>
      </c>
      <c r="C443" s="5" t="inlineStr">
        <is>
          <t>Step 1: Learn the Basics</t>
        </is>
      </c>
      <c r="D443" s="5" t="inlineStr">
        <is>
          <t>Things to Know</t>
        </is>
      </c>
      <c r="E443" s="5" t="inlineStr">
        <is>
          <t>Find Character Case</t>
        </is>
      </c>
      <c r="F443" s="12" t="inlineStr">
        <is>
          <t>Easy</t>
        </is>
      </c>
      <c r="G443" s="13">
        <f>HYPERLINK("https://leetcode.com/problems/detect-capital/", "LeetCode Practice")</f>
        <v/>
      </c>
      <c r="H443" s="20">
        <f>HYPERLINK("https://www.youtube.com/results?search_query=takeUforward+Find+Character+Case", "YouTube Video")</f>
        <v/>
      </c>
    </row>
    <row r="444" ht="20" customHeight="1">
      <c r="A444" s="7" t="n">
        <v>440</v>
      </c>
      <c r="B444" s="7" t="inlineStr">
        <is>
          <t>Todo</t>
        </is>
      </c>
      <c r="C444" s="8" t="inlineStr">
        <is>
          <t>Step 1: Learn the Basics</t>
        </is>
      </c>
      <c r="D444" s="8" t="inlineStr">
        <is>
          <t>Things to Know</t>
        </is>
      </c>
      <c r="E444" s="8" t="inlineStr">
        <is>
          <t>Data Type Size</t>
        </is>
      </c>
      <c r="F444" s="16" t="inlineStr">
        <is>
          <t>Easy</t>
        </is>
      </c>
      <c r="G444" s="15">
        <f>HYPERLINK("https://leetcode.com/problems/add-digits/", "LeetCode Practice")</f>
        <v/>
      </c>
      <c r="H444" s="21">
        <f>HYPERLINK("https://www.youtube.com/results?search_query=takeUforward+Data+Type+Size", "YouTube Video")</f>
        <v/>
      </c>
    </row>
    <row r="445" ht="20" customHeight="1">
      <c r="A445" s="4" t="n">
        <v>441</v>
      </c>
      <c r="B445" s="4" t="inlineStr">
        <is>
          <t>Todo</t>
        </is>
      </c>
      <c r="C445" s="5" t="inlineStr">
        <is>
          <t>Step 1: Learn the Basics</t>
        </is>
      </c>
      <c r="D445" s="5" t="inlineStr">
        <is>
          <t>Things to Know</t>
        </is>
      </c>
      <c r="E445" s="5" t="inlineStr">
        <is>
          <t>If-Else Decision Making</t>
        </is>
      </c>
      <c r="F445" s="12" t="inlineStr">
        <is>
          <t>Easy</t>
        </is>
      </c>
      <c r="G445" s="13">
        <f>HYPERLINK("https://leetcode.com/problems/fizz-buzz/", "LeetCode Practice")</f>
        <v/>
      </c>
      <c r="H445" s="20">
        <f>HYPERLINK("https://www.youtube.com/results?search_query=takeUforward+If-Else+Decision+Making", "YouTube Video")</f>
        <v/>
      </c>
    </row>
    <row r="446" ht="20" customHeight="1">
      <c r="A446" s="7" t="n">
        <v>442</v>
      </c>
      <c r="B446" s="7" t="inlineStr">
        <is>
          <t>Todo</t>
        </is>
      </c>
      <c r="C446" s="8" t="inlineStr">
        <is>
          <t>Step 1: Learn the Basics</t>
        </is>
      </c>
      <c r="D446" s="8" t="inlineStr">
        <is>
          <t>Things to Know</t>
        </is>
      </c>
      <c r="E446" s="8" t="inlineStr">
        <is>
          <t>Switch Statement</t>
        </is>
      </c>
      <c r="F446" s="16" t="inlineStr">
        <is>
          <t>Easy</t>
        </is>
      </c>
      <c r="G446" s="15">
        <f>HYPERLINK("https://leetcode.com/problems/calculate-money-in-leetcode-bank/", "LeetCode Practice")</f>
        <v/>
      </c>
      <c r="H446" s="21">
        <f>HYPERLINK("https://www.youtube.com/results?search_query=takeUforward+Switch+Statement", "YouTube Video")</f>
        <v/>
      </c>
    </row>
    <row r="447" ht="20" customHeight="1">
      <c r="A447" s="4" t="n">
        <v>443</v>
      </c>
      <c r="B447" s="4" t="inlineStr">
        <is>
          <t>Todo</t>
        </is>
      </c>
      <c r="C447" s="5" t="inlineStr">
        <is>
          <t>Step 1: Learn the Basics</t>
        </is>
      </c>
      <c r="D447" s="5" t="inlineStr">
        <is>
          <t>Things to Know</t>
        </is>
      </c>
      <c r="E447" s="5" t="inlineStr">
        <is>
          <t>For Loops &amp; While Loops</t>
        </is>
      </c>
      <c r="F447" s="12" t="inlineStr">
        <is>
          <t>Easy</t>
        </is>
      </c>
      <c r="G447" s="13">
        <f>HYPERLINK("https://leetcode.com/problems/climbing-stairs/", "LeetCode Practice")</f>
        <v/>
      </c>
      <c r="H447" s="20">
        <f>HYPERLINK("https://www.youtube.com/results?search_query=takeUforward+For+Loops+%26+While+Loops", "YouTube Video")</f>
        <v/>
      </c>
    </row>
    <row r="448" ht="20" customHeight="1">
      <c r="A448" s="7" t="n">
        <v>444</v>
      </c>
      <c r="B448" s="7" t="inlineStr">
        <is>
          <t>Todo</t>
        </is>
      </c>
      <c r="C448" s="8" t="inlineStr">
        <is>
          <t>Step 1: Learn the Basics</t>
        </is>
      </c>
      <c r="D448" s="8" t="inlineStr">
        <is>
          <t>Things to Know</t>
        </is>
      </c>
      <c r="E448" s="8" t="inlineStr">
        <is>
          <t>Functions (Pass by Reference and Value)</t>
        </is>
      </c>
      <c r="F448" s="16" t="inlineStr">
        <is>
          <t>Easy</t>
        </is>
      </c>
      <c r="G448" s="15">
        <f>HYPERLINK("https://leetcode.com/problems/swap-nodes-in-pairs/", "LeetCode Practice")</f>
        <v/>
      </c>
      <c r="H448" s="21">
        <f>HYPERLINK("https://www.youtube.com/results?search_query=takeUforward+Functions+%28Pass+by+Reference+and+Value%29", "YouTube Video")</f>
        <v/>
      </c>
    </row>
    <row r="449" ht="20" customHeight="1">
      <c r="A449" s="4" t="n">
        <v>445</v>
      </c>
      <c r="B449" s="4" t="inlineStr">
        <is>
          <t>Todo</t>
        </is>
      </c>
      <c r="C449" s="5" t="inlineStr">
        <is>
          <t>Step 1: Learn the Basics</t>
        </is>
      </c>
      <c r="D449" s="5" t="inlineStr">
        <is>
          <t>Things to Know</t>
        </is>
      </c>
      <c r="E449" s="5" t="inlineStr">
        <is>
          <t>Time Complexity Analysis Practice</t>
        </is>
      </c>
      <c r="F449" s="12" t="inlineStr">
        <is>
          <t>Easy</t>
        </is>
      </c>
      <c r="G449" s="13">
        <f>HYPERLINK("https://leetcode.com/problems/running-sum-of-1d-array/", "LeetCode Practice")</f>
        <v/>
      </c>
      <c r="H449" s="20">
        <f>HYPERLINK("https://www.youtube.com/results?search_query=takeUforward+Time+Complexity+Analysis+Practice", "YouTube Video")</f>
        <v/>
      </c>
    </row>
    <row r="450" ht="20" customHeight="1">
      <c r="A450" s="7" t="n">
        <v>446</v>
      </c>
      <c r="B450" s="7" t="inlineStr">
        <is>
          <t>Todo</t>
        </is>
      </c>
      <c r="C450" s="8" t="inlineStr">
        <is>
          <t>Step 3: Arrays</t>
        </is>
      </c>
      <c r="D450" s="8" t="inlineStr">
        <is>
          <t>Easy</t>
        </is>
      </c>
      <c r="E450" s="8" t="inlineStr">
        <is>
          <t>Check if Array is Sorted</t>
        </is>
      </c>
      <c r="F450" s="16" t="inlineStr">
        <is>
          <t>Easy</t>
        </is>
      </c>
      <c r="G450" s="15">
        <f>HYPERLINK("https://leetcode.com/problems/check-if-array-is-sorted-and-rotated/", "LeetCode Practice")</f>
        <v/>
      </c>
      <c r="H450" s="21">
        <f>HYPERLINK("https://www.youtube.com/results?search_query=takeUforward+Check+if+Array+is+Sorted", "YouTube Video")</f>
        <v/>
      </c>
    </row>
    <row r="451" ht="20" customHeight="1">
      <c r="A451" s="4" t="n">
        <v>447</v>
      </c>
      <c r="B451" s="4" t="inlineStr">
        <is>
          <t>Todo</t>
        </is>
      </c>
      <c r="C451" s="5" t="inlineStr">
        <is>
          <t>Step 3: Arrays</t>
        </is>
      </c>
      <c r="D451" s="5" t="inlineStr">
        <is>
          <t>Easy</t>
        </is>
      </c>
      <c r="E451" s="5" t="inlineStr">
        <is>
          <t>Find the element that appears once in sorted array</t>
        </is>
      </c>
      <c r="F451" s="17" t="inlineStr">
        <is>
          <t>Medium</t>
        </is>
      </c>
      <c r="G451" s="13">
        <f>HYPERLINK("https://leetcode.com/problems/single-element-in-a-sorted-array/", "LeetCode Practice")</f>
        <v/>
      </c>
      <c r="H451" s="20">
        <f>HYPERLINK("https://www.youtube.com/results?search_query=takeUforward+Find+the+element+that+appears+once+in+sorted+array", "YouTube Video")</f>
        <v/>
      </c>
    </row>
    <row r="452" ht="20" customHeight="1">
      <c r="A452" s="7" t="n">
        <v>448</v>
      </c>
      <c r="B452" s="7" t="inlineStr">
        <is>
          <t>Todo</t>
        </is>
      </c>
      <c r="C452" s="8" t="inlineStr">
        <is>
          <t>Step 3: Arrays</t>
        </is>
      </c>
      <c r="D452" s="8" t="inlineStr">
        <is>
          <t>Medium</t>
        </is>
      </c>
      <c r="E452" s="8" t="inlineStr">
        <is>
          <t>Rotate Matrix by 90 Degrees Clockwise</t>
        </is>
      </c>
      <c r="F452" s="14" t="inlineStr">
        <is>
          <t>Medium</t>
        </is>
      </c>
      <c r="G452" s="15">
        <f>HYPERLINK("https://leetcode.com/problems/rotate-image/", "LeetCode Practice")</f>
        <v/>
      </c>
      <c r="H452" s="21">
        <f>HYPERLINK("https://www.youtube.com/results?search_query=takeUforward+Rotate+Matrix+by+90+Degrees+Clockwise", "YouTube Video")</f>
        <v/>
      </c>
    </row>
    <row r="453" ht="20" customHeight="1">
      <c r="A453" s="4" t="n">
        <v>449</v>
      </c>
      <c r="B453" s="4" t="inlineStr">
        <is>
          <t>Todo</t>
        </is>
      </c>
      <c r="C453" s="5" t="inlineStr">
        <is>
          <t>Step 3: Arrays</t>
        </is>
      </c>
      <c r="D453" s="5" t="inlineStr">
        <is>
          <t>Hard</t>
        </is>
      </c>
      <c r="E453" s="5" t="inlineStr">
        <is>
          <t>Max Subarray Product</t>
        </is>
      </c>
      <c r="F453" s="17" t="inlineStr">
        <is>
          <t>Medium</t>
        </is>
      </c>
      <c r="G453" s="13">
        <f>HYPERLINK("https://leetcode.com/problems/maximum-product-subarray/", "LeetCode Practice")</f>
        <v/>
      </c>
      <c r="H453" s="20">
        <f>HYPERLINK("https://www.youtube.com/results?search_query=takeUforward+Max+Subarray+Product", "YouTube Video")</f>
        <v/>
      </c>
    </row>
    <row r="454" ht="20" customHeight="1">
      <c r="A454" s="7" t="n">
        <v>450</v>
      </c>
      <c r="B454" s="7" t="inlineStr">
        <is>
          <t>Todo</t>
        </is>
      </c>
      <c r="C454" s="8" t="inlineStr">
        <is>
          <t>Step 3: Arrays</t>
        </is>
      </c>
      <c r="D454" s="8" t="inlineStr">
        <is>
          <t>Hard</t>
        </is>
      </c>
      <c r="E454" s="8" t="inlineStr">
        <is>
          <t>Find missing and repeating numbers</t>
        </is>
      </c>
      <c r="F454" s="14" t="inlineStr">
        <is>
          <t>Medium</t>
        </is>
      </c>
      <c r="G454" s="15">
        <f>HYPERLINK("https://leetcode.com/problems/set-mismatch/", "LeetCode Practice")</f>
        <v/>
      </c>
      <c r="H454" s="21">
        <f>HYPERLINK("https://www.youtube.com/results?search_query=takeUforward+Find+missing+and+repeating+numbers", "YouTube Video")</f>
        <v/>
      </c>
    </row>
    <row r="455" ht="20" customHeight="1">
      <c r="A455" s="4" t="n">
        <v>451</v>
      </c>
      <c r="B455" s="4" t="inlineStr">
        <is>
          <t>Todo</t>
        </is>
      </c>
      <c r="C455" s="5" t="inlineStr">
        <is>
          <t>Step 4: Binary Search</t>
        </is>
      </c>
      <c r="D455" s="5" t="inlineStr">
        <is>
          <t>1D Arrays</t>
        </is>
      </c>
      <c r="E455" s="5" t="inlineStr">
        <is>
          <t>Search in Rotated Sorted Array with Duplicates</t>
        </is>
      </c>
      <c r="F455" s="17" t="inlineStr">
        <is>
          <t>Medium</t>
        </is>
      </c>
      <c r="G455" s="13">
        <f>HYPERLINK("https://leetcode.com/problems/search-in-rotated-sorted-array-ii/", "LeetCode Practice")</f>
        <v/>
      </c>
      <c r="H455" s="20">
        <f>HYPERLINK("https://www.youtube.com/results?search_query=takeUforward+Search+in+Rotated+Sorted+Array+with+Duplicates", "YouTube Video")</f>
        <v/>
      </c>
    </row>
    <row r="456" ht="20" customHeight="1">
      <c r="A456" s="7" t="n">
        <v>452</v>
      </c>
      <c r="B456" s="7" t="inlineStr">
        <is>
          <t>Todo</t>
        </is>
      </c>
      <c r="C456" s="8" t="inlineStr">
        <is>
          <t>Step 4: Binary Search</t>
        </is>
      </c>
      <c r="D456" s="8" t="inlineStr">
        <is>
          <t>Answers (Search Space)</t>
        </is>
      </c>
      <c r="E456" s="8" t="inlineStr">
        <is>
          <t>Median of two sorted arrays of different sizes</t>
        </is>
      </c>
      <c r="F456" s="19" t="inlineStr">
        <is>
          <t>Hard</t>
        </is>
      </c>
      <c r="G456" s="15">
        <f>HYPERLINK("https://leetcode.com/problems/median-of-two-sorted-arrays/", "LeetCode Practice")</f>
        <v/>
      </c>
      <c r="H456" s="21">
        <f>HYPERLINK("https://www.youtube.com/results?search_query=takeUforward+Median+of+two+sorted+arrays+of+different+sizes", "YouTube Video")</f>
        <v/>
      </c>
    </row>
    <row r="457" ht="20" customHeight="1">
      <c r="A457" s="4" t="n">
        <v>453</v>
      </c>
      <c r="B457" s="4" t="inlineStr">
        <is>
          <t>Todo</t>
        </is>
      </c>
      <c r="C457" s="5" t="inlineStr">
        <is>
          <t>Step 4: Binary Search</t>
        </is>
      </c>
      <c r="D457" s="5" t="inlineStr">
        <is>
          <t>Answers (Search Space)</t>
        </is>
      </c>
      <c r="E457" s="5" t="inlineStr">
        <is>
          <t>Find Kth missing positive number</t>
        </is>
      </c>
      <c r="F457" s="12" t="inlineStr">
        <is>
          <t>Easy</t>
        </is>
      </c>
      <c r="G457" s="13">
        <f>HYPERLINK("https://leetcode.com/problems/kth-missing-positive-number/", "LeetCode Practice")</f>
        <v/>
      </c>
      <c r="H457" s="20">
        <f>HYPERLINK("https://www.youtube.com/results?search_query=takeUforward+Find+Kth+missing+positive+number", "YouTube Video")</f>
        <v/>
      </c>
    </row>
    <row r="458" ht="20" customHeight="1">
      <c r="A458" s="7" t="n">
        <v>454</v>
      </c>
      <c r="B458" s="7" t="inlineStr">
        <is>
          <t>Todo</t>
        </is>
      </c>
      <c r="C458" s="8" t="inlineStr">
        <is>
          <t>Step 6: LinkedList</t>
        </is>
      </c>
      <c r="D458" s="8" t="inlineStr">
        <is>
          <t>Medium Problems</t>
        </is>
      </c>
      <c r="E458" s="8" t="inlineStr">
        <is>
          <t>Find Middle of Singly Linked List</t>
        </is>
      </c>
      <c r="F458" s="16" t="inlineStr">
        <is>
          <t>Easy</t>
        </is>
      </c>
      <c r="G458" s="15">
        <f>HYPERLINK("https://leetcode.com/problems/middle-of-the-linked-list/", "LeetCode Practice")</f>
        <v/>
      </c>
      <c r="H458" s="21">
        <f>HYPERLINK("https://www.youtube.com/results?search_query=takeUforward+Find+Middle+of+Singly+Linked+List", "YouTube Video")</f>
        <v/>
      </c>
    </row>
    <row r="459" ht="20" customHeight="1">
      <c r="A459" s="4" t="n">
        <v>455</v>
      </c>
      <c r="B459" s="4" t="inlineStr">
        <is>
          <t>Todo</t>
        </is>
      </c>
      <c r="C459" s="5" t="inlineStr">
        <is>
          <t>Step 6: LinkedList</t>
        </is>
      </c>
      <c r="D459" s="5" t="inlineStr">
        <is>
          <t>Medium Problems</t>
        </is>
      </c>
      <c r="E459" s="5" t="inlineStr">
        <is>
          <t>Find the Length of Loop in Linked List</t>
        </is>
      </c>
      <c r="F459" s="12" t="inlineStr">
        <is>
          <t>Easy</t>
        </is>
      </c>
      <c r="G459" s="13">
        <f>HYPERLINK("https://leetcode.com/problems/linked-list-cycle/", "LeetCode Practice")</f>
        <v/>
      </c>
      <c r="H459" s="20">
        <f>HYPERLINK("https://www.youtube.com/results?search_query=takeUforward+Find+the+Length+of+Loop+in+Linked+List", "YouTube Video")</f>
        <v/>
      </c>
    </row>
    <row r="460" ht="20" customHeight="1">
      <c r="A460" s="7" t="n">
        <v>456</v>
      </c>
      <c r="B460" s="7" t="inlineStr">
        <is>
          <t>Todo</t>
        </is>
      </c>
      <c r="C460" s="8" t="inlineStr">
        <is>
          <t>Step 6: LinkedList</t>
        </is>
      </c>
      <c r="D460" s="8" t="inlineStr">
        <is>
          <t>Medium Problems</t>
        </is>
      </c>
      <c r="E460" s="8" t="inlineStr">
        <is>
          <t>Palindrome Linked List</t>
        </is>
      </c>
      <c r="F460" s="16" t="inlineStr">
        <is>
          <t>Easy</t>
        </is>
      </c>
      <c r="G460" s="15">
        <f>HYPERLINK("https://leetcode.com/problems/palindrome-linked-list/", "LeetCode Practice")</f>
        <v/>
      </c>
      <c r="H460" s="21">
        <f>HYPERLINK("https://www.youtube.com/results?search_query=takeUforward+Palindrome+Linked+List", "YouTube Video")</f>
        <v/>
      </c>
    </row>
    <row r="461" ht="20" customHeight="1">
      <c r="A461" s="4" t="n">
        <v>457</v>
      </c>
      <c r="B461" s="4" t="inlineStr">
        <is>
          <t>Todo</t>
        </is>
      </c>
      <c r="C461" s="5" t="inlineStr">
        <is>
          <t>Step 7: Recursion</t>
        </is>
      </c>
      <c r="D461" s="5" t="inlineStr">
        <is>
          <t>Subsequences Pattern</t>
        </is>
      </c>
      <c r="E461" s="5" t="inlineStr">
        <is>
          <t>Subset Sum with Target</t>
        </is>
      </c>
      <c r="F461" s="17" t="inlineStr">
        <is>
          <t>Medium</t>
        </is>
      </c>
      <c r="G461" s="13">
        <f>HYPERLINK("https://leetcode.com/problems/combination-sum/", "LeetCode Practice")</f>
        <v/>
      </c>
      <c r="H461" s="20">
        <f>HYPERLINK("https://www.youtube.com/results?search_query=takeUforward+Subset+Sum+with+Target", "YouTube Video")</f>
        <v/>
      </c>
    </row>
    <row r="462" ht="20" customHeight="1">
      <c r="A462" s="7" t="n">
        <v>458</v>
      </c>
      <c r="B462" s="7" t="inlineStr">
        <is>
          <t>Todo</t>
        </is>
      </c>
      <c r="C462" s="8" t="inlineStr">
        <is>
          <t>Step 7: Recursion</t>
        </is>
      </c>
      <c r="D462" s="8" t="inlineStr">
        <is>
          <t>Hard</t>
        </is>
      </c>
      <c r="E462" s="8" t="inlineStr">
        <is>
          <t>Solve the Sudoku</t>
        </is>
      </c>
      <c r="F462" s="19" t="inlineStr">
        <is>
          <t>Hard</t>
        </is>
      </c>
      <c r="G462" s="15">
        <f>HYPERLINK("https://leetcode.com/problems/sudoku-solver/", "LeetCode Practice")</f>
        <v/>
      </c>
      <c r="H462" s="21">
        <f>HYPERLINK("https://www.youtube.com/results?search_query=takeUforward+Solve+the+Sudoku", "YouTube Video")</f>
        <v/>
      </c>
    </row>
    <row r="463" ht="20" customHeight="1">
      <c r="A463" s="4" t="n">
        <v>459</v>
      </c>
      <c r="B463" s="4" t="inlineStr">
        <is>
          <t>Todo</t>
        </is>
      </c>
      <c r="C463" s="5" t="inlineStr">
        <is>
          <t>Step 9: Stack and Queues</t>
        </is>
      </c>
      <c r="D463" s="5" t="inlineStr">
        <is>
          <t>Learning</t>
        </is>
      </c>
      <c r="E463" s="5" t="inlineStr">
        <is>
          <t>Implement Queue using Stack (amortized O(1))</t>
        </is>
      </c>
      <c r="F463" s="12" t="inlineStr">
        <is>
          <t>Easy</t>
        </is>
      </c>
      <c r="G463" s="13">
        <f>HYPERLINK("https://leetcode.com/problems/implement-queue-using-stacks/", "LeetCode Practice")</f>
        <v/>
      </c>
      <c r="H463" s="20">
        <f>HYPERLINK("https://www.youtube.com/results?search_query=takeUforward+Implement+Queue+using+Stack+%28amortized+O%281%29%29", "YouTube Video")</f>
        <v/>
      </c>
    </row>
    <row r="464" ht="20" customHeight="1">
      <c r="A464" s="7" t="n">
        <v>460</v>
      </c>
      <c r="B464" s="7" t="inlineStr">
        <is>
          <t>Todo</t>
        </is>
      </c>
      <c r="C464" s="8" t="inlineStr">
        <is>
          <t>Step 9: Stack and Queues</t>
        </is>
      </c>
      <c r="D464" s="8" t="inlineStr">
        <is>
          <t>Monotonic Stack</t>
        </is>
      </c>
      <c r="E464" s="8" t="inlineStr">
        <is>
          <t>Next Greater Element to the Left</t>
        </is>
      </c>
      <c r="F464" s="14" t="inlineStr">
        <is>
          <t>Medium</t>
        </is>
      </c>
      <c r="G464" s="15">
        <f>HYPERLINK("https://leetcode.com/problems/daily-temperatures/", "LeetCode Practice")</f>
        <v/>
      </c>
      <c r="H464" s="21">
        <f>HYPERLINK("https://www.youtube.com/results?search_query=takeUforward+Next+Greater+Element+to+the+Left", "YouTube Video")</f>
        <v/>
      </c>
    </row>
    <row r="465" ht="20" customHeight="1">
      <c r="A465" s="4" t="n">
        <v>461</v>
      </c>
      <c r="B465" s="4" t="inlineStr">
        <is>
          <t>Todo</t>
        </is>
      </c>
      <c r="C465" s="5" t="inlineStr">
        <is>
          <t>Step 9: Stack and Queues</t>
        </is>
      </c>
      <c r="D465" s="5" t="inlineStr">
        <is>
          <t>Monotonic Stack</t>
        </is>
      </c>
      <c r="E465" s="5" t="inlineStr">
        <is>
          <t>Previous Smaller Element</t>
        </is>
      </c>
      <c r="F465" s="17" t="inlineStr">
        <is>
          <t>Medium</t>
        </is>
      </c>
      <c r="G465" s="13">
        <f>HYPERLINK("https://leetcode.com/problems/final-prices-with-a-special-discount-in-a-shop/", "LeetCode Practice")</f>
        <v/>
      </c>
      <c r="H465" s="20">
        <f>HYPERLINK("https://www.youtube.com/results?search_query=takeUforward+Previous+Smaller+Element", "YouTube Video")</f>
        <v/>
      </c>
    </row>
    <row r="466" ht="20" customHeight="1">
      <c r="A466" s="7" t="n">
        <v>462</v>
      </c>
      <c r="B466" s="7" t="inlineStr">
        <is>
          <t>Todo</t>
        </is>
      </c>
      <c r="C466" s="8" t="inlineStr">
        <is>
          <t>Step 10: Sliding Window</t>
        </is>
      </c>
      <c r="D466" s="8" t="inlineStr">
        <is>
          <t>Medium Problems</t>
        </is>
      </c>
      <c r="E466" s="8" t="inlineStr">
        <is>
          <t>Count of substrings having at least one char of all types</t>
        </is>
      </c>
      <c r="F466" s="14" t="inlineStr">
        <is>
          <t>Medium</t>
        </is>
      </c>
      <c r="G466" s="15">
        <f>HYPERLINK("https://leetcode.com/problems/number-of-substrings-containing-all-three-characters/", "LeetCode Practice")</f>
        <v/>
      </c>
      <c r="H466" s="21">
        <f>HYPERLINK("https://www.youtube.com/results?search_query=takeUforward+Count+of+substrings+having+at+least+one+char+of+all+types", "YouTube Video")</f>
        <v/>
      </c>
    </row>
    <row r="467" ht="20" customHeight="1">
      <c r="A467" s="4" t="n">
        <v>463</v>
      </c>
      <c r="B467" s="4" t="inlineStr">
        <is>
          <t>Todo</t>
        </is>
      </c>
      <c r="C467" s="5" t="inlineStr">
        <is>
          <t>Step 10: Sliding Window</t>
        </is>
      </c>
      <c r="D467" s="5" t="inlineStr">
        <is>
          <t>Hard Problems</t>
        </is>
      </c>
      <c r="E467" s="5" t="inlineStr">
        <is>
          <t>Minimum Window Substring Problem</t>
        </is>
      </c>
      <c r="F467" s="18" t="inlineStr">
        <is>
          <t>Hard</t>
        </is>
      </c>
      <c r="G467" s="13">
        <f>HYPERLINK("https://leetcode.com/problems/minimum-window-substring/", "LeetCode Practice")</f>
        <v/>
      </c>
      <c r="H467" s="20">
        <f>HYPERLINK("https://www.youtube.com/results?search_query=takeUforward+Minimum+Window+Substring+Problem", "YouTube Video")</f>
        <v/>
      </c>
    </row>
    <row r="468" ht="20" customHeight="1">
      <c r="A468" s="7" t="n">
        <v>464</v>
      </c>
      <c r="B468" s="7" t="inlineStr">
        <is>
          <t>Todo</t>
        </is>
      </c>
      <c r="C468" s="8" t="inlineStr">
        <is>
          <t>Step 11: Heaps</t>
        </is>
      </c>
      <c r="D468" s="8" t="inlineStr">
        <is>
          <t>Hard Problems</t>
        </is>
      </c>
      <c r="E468" s="8" t="inlineStr">
        <is>
          <t>Kth largest element in a stream</t>
        </is>
      </c>
      <c r="F468" s="16" t="inlineStr">
        <is>
          <t>Easy</t>
        </is>
      </c>
      <c r="G468" s="15">
        <f>HYPERLINK("https://leetcode.com/problems/kth-largest-element-in-a-stream/", "LeetCode Practice")</f>
        <v/>
      </c>
      <c r="H468" s="21">
        <f>HYPERLINK("https://www.youtube.com/results?search_query=takeUforward+Kth+largest+element+in+a+stream", "YouTube Video")</f>
        <v/>
      </c>
    </row>
    <row r="469" ht="20" customHeight="1">
      <c r="A469" s="4" t="n">
        <v>465</v>
      </c>
      <c r="B469" s="4" t="inlineStr">
        <is>
          <t>Todo</t>
        </is>
      </c>
      <c r="C469" s="5" t="inlineStr">
        <is>
          <t>Step 11: Heaps</t>
        </is>
      </c>
      <c r="D469" s="5" t="inlineStr">
        <is>
          <t>Hard Problems</t>
        </is>
      </c>
      <c r="E469" s="5" t="inlineStr">
        <is>
          <t>Find running median from data stream</t>
        </is>
      </c>
      <c r="F469" s="18" t="inlineStr">
        <is>
          <t>Hard</t>
        </is>
      </c>
      <c r="G469" s="13">
        <f>HYPERLINK("https://leetcode.com/problems/find-median-from-data-stream/", "LeetCode Practice")</f>
        <v/>
      </c>
      <c r="H469" s="20">
        <f>HYPERLINK("https://www.youtube.com/results?search_query=takeUforward+Find+running+median+from+data+stream", "YouTube Video")</f>
        <v/>
      </c>
    </row>
    <row r="470" ht="20" customHeight="1">
      <c r="A470" s="7" t="n">
        <v>466</v>
      </c>
      <c r="B470" s="7" t="inlineStr">
        <is>
          <t>Todo</t>
        </is>
      </c>
      <c r="C470" s="8" t="inlineStr">
        <is>
          <t>Step 13: Binary Trees</t>
        </is>
      </c>
      <c r="D470" s="8" t="inlineStr">
        <is>
          <t>Medium Problems</t>
        </is>
      </c>
      <c r="E470" s="8" t="inlineStr">
        <is>
          <t>Root to Leaf Paths</t>
        </is>
      </c>
      <c r="F470" s="14" t="inlineStr">
        <is>
          <t>Medium</t>
        </is>
      </c>
      <c r="G470" s="15">
        <f>HYPERLINK("https://leetcode.com/problems/binary-tree-paths/", "LeetCode Practice")</f>
        <v/>
      </c>
      <c r="H470" s="21">
        <f>HYPERLINK("https://www.youtube.com/results?search_query=takeUforward+Root+to+Leaf+Paths", "YouTube Video")</f>
        <v/>
      </c>
    </row>
    <row r="471" ht="20" customHeight="1">
      <c r="A471" s="4" t="n">
        <v>467</v>
      </c>
      <c r="B471" s="4" t="inlineStr">
        <is>
          <t>Todo</t>
        </is>
      </c>
      <c r="C471" s="5" t="inlineStr">
        <is>
          <t>Step 13: Binary Trees</t>
        </is>
      </c>
      <c r="D471" s="5" t="inlineStr">
        <is>
          <t>Medium Problems</t>
        </is>
      </c>
      <c r="E471" s="5" t="inlineStr">
        <is>
          <t>Diameter of Tree - Optimized O(N)</t>
        </is>
      </c>
      <c r="F471" s="12" t="inlineStr">
        <is>
          <t>Easy</t>
        </is>
      </c>
      <c r="G471" s="13">
        <f>HYPERLINK("https://leetcode.com/problems/diameter-of-binary-tree/", "LeetCode Practice")</f>
        <v/>
      </c>
      <c r="H471" s="20">
        <f>HYPERLINK("https://www.youtube.com/results?search_query=takeUforward+Diameter+of+Tree+-+Optimized+O%28N%29", "YouTube Video")</f>
        <v/>
      </c>
    </row>
    <row r="472" ht="20" customHeight="1">
      <c r="A472" s="7" t="n">
        <v>468</v>
      </c>
      <c r="B472" s="7" t="inlineStr">
        <is>
          <t>Todo</t>
        </is>
      </c>
      <c r="C472" s="8" t="inlineStr">
        <is>
          <t>Step 13: Binary Trees</t>
        </is>
      </c>
      <c r="D472" s="8" t="inlineStr">
        <is>
          <t>Hard Problems</t>
        </is>
      </c>
      <c r="E472" s="8" t="inlineStr">
        <is>
          <t>Lowest Common Ancestor for Two Given Nodes</t>
        </is>
      </c>
      <c r="F472" s="14" t="inlineStr">
        <is>
          <t>Medium</t>
        </is>
      </c>
      <c r="G472" s="15">
        <f>HYPERLINK("https://leetcode.com/problems/lowest-common-ancestor-of-a-binary-tree/", "LeetCode Practice")</f>
        <v/>
      </c>
      <c r="H472" s="21">
        <f>HYPERLINK("https://www.youtube.com/results?search_query=takeUforward+Lowest+Common+Ancestor+for+Two+Given+Nodes", "YouTube Video")</f>
        <v/>
      </c>
    </row>
    <row r="473" ht="20" customHeight="1">
      <c r="A473" s="4" t="n">
        <v>469</v>
      </c>
      <c r="B473" s="4" t="inlineStr">
        <is>
          <t>Todo</t>
        </is>
      </c>
      <c r="C473" s="5" t="inlineStr">
        <is>
          <t>Step 15: Graphs</t>
        </is>
      </c>
      <c r="D473" s="5" t="inlineStr">
        <is>
          <t>BFS/DFS Problems</t>
        </is>
      </c>
      <c r="E473" s="5" t="inlineStr">
        <is>
          <t>Detect cycle in undirected graph using BFS/DFS</t>
        </is>
      </c>
      <c r="F473" s="17" t="inlineStr">
        <is>
          <t>Medium</t>
        </is>
      </c>
      <c r="G473" s="13">
        <f>HYPERLINK("https://leetcode.com/problems/course-schedule/", "LeetCode Practice")</f>
        <v/>
      </c>
      <c r="H473" s="20">
        <f>HYPERLINK("https://www.youtube.com/results?search_query=takeUforward+Detect+cycle+in+undirected+graph+using+BFS+DFS", "YouTube Video")</f>
        <v/>
      </c>
    </row>
    <row r="474" ht="20" customHeight="1">
      <c r="A474" s="7" t="n">
        <v>470</v>
      </c>
      <c r="B474" s="7" t="inlineStr">
        <is>
          <t>Todo</t>
        </is>
      </c>
      <c r="C474" s="8" t="inlineStr">
        <is>
          <t>Step 15: Graphs</t>
        </is>
      </c>
      <c r="D474" s="8" t="inlineStr">
        <is>
          <t>Topo Sort</t>
        </is>
      </c>
      <c r="E474" s="8" t="inlineStr">
        <is>
          <t>Kahn's Algorithm for Topological Sort</t>
        </is>
      </c>
      <c r="F474" s="14" t="inlineStr">
        <is>
          <t>Medium</t>
        </is>
      </c>
      <c r="G474" s="15">
        <f>HYPERLINK("https://leetcode.com/problems/course-schedule-ii/", "LeetCode Practice")</f>
        <v/>
      </c>
      <c r="H474" s="21">
        <f>HYPERLINK("https://www.youtube.com/results?search_query=takeUforward+Kahn%27s+Algorithm+for+Topological+Sort", "YouTube Video")</f>
        <v/>
      </c>
    </row>
    <row r="475" ht="20" customHeight="1">
      <c r="A475" s="4" t="n">
        <v>471</v>
      </c>
      <c r="B475" s="4" t="inlineStr">
        <is>
          <t>Todo</t>
        </is>
      </c>
      <c r="C475" s="5" t="inlineStr">
        <is>
          <t>Step 15: Graphs</t>
        </is>
      </c>
      <c r="D475" s="5" t="inlineStr">
        <is>
          <t>Shortest Path</t>
        </is>
      </c>
      <c r="E475" s="5" t="inlineStr">
        <is>
          <t>Bellman Ford shortest path algorithm</t>
        </is>
      </c>
      <c r="F475" s="17" t="inlineStr">
        <is>
          <t>Medium</t>
        </is>
      </c>
      <c r="G475" s="13">
        <f>HYPERLINK("https://leetcode.com/problems/cheapest-flights-within-k-stops/", "LeetCode Practice")</f>
        <v/>
      </c>
      <c r="H475" s="20">
        <f>HYPERLINK("https://www.youtube.com/results?search_query=takeUforward+Bellman+Ford+shortest+path+algorithm", "YouTube Video")</f>
        <v/>
      </c>
    </row>
    <row r="476" ht="20" customHeight="1">
      <c r="A476" s="7" t="n">
        <v>472</v>
      </c>
      <c r="B476" s="7" t="inlineStr">
        <is>
          <t>Todo</t>
        </is>
      </c>
      <c r="C476" s="8" t="inlineStr">
        <is>
          <t>Step 15: Graphs</t>
        </is>
      </c>
      <c r="D476" s="8" t="inlineStr">
        <is>
          <t>Other Algorithms</t>
        </is>
      </c>
      <c r="E476" s="8" t="inlineStr">
        <is>
          <t>Find Bridges in Graph (Tarjan's)</t>
        </is>
      </c>
      <c r="F476" s="19" t="inlineStr">
        <is>
          <t>Hard</t>
        </is>
      </c>
      <c r="G476" s="15">
        <f>HYPERLINK("https://leetcode.com/problems/critical-connections-in-a-network/", "LeetCode Practice")</f>
        <v/>
      </c>
      <c r="H476" s="21">
        <f>HYPERLINK("https://www.youtube.com/results?search_query=takeUforward+Find+Bridges+in+Graph+%28Tarjan%27s%29", "YouTube Video")</f>
        <v/>
      </c>
    </row>
    <row r="477" ht="20" customHeight="1">
      <c r="A477" s="4" t="n">
        <v>473</v>
      </c>
      <c r="B477" s="4" t="inlineStr">
        <is>
          <t>Todo</t>
        </is>
      </c>
      <c r="C477" s="5" t="inlineStr">
        <is>
          <t>Step 16: DP</t>
        </is>
      </c>
      <c r="D477" s="5" t="inlineStr">
        <is>
          <t>Subsequences</t>
        </is>
      </c>
      <c r="E477" s="5" t="inlineStr">
        <is>
          <t>Subset sum equals target using memoization</t>
        </is>
      </c>
      <c r="F477" s="17" t="inlineStr">
        <is>
          <t>Medium</t>
        </is>
      </c>
      <c r="G477" s="13">
        <f>HYPERLINK("https://leetcode.com/problems/partition-equal-subset-sum/", "LeetCode Practice")</f>
        <v/>
      </c>
      <c r="H477" s="20">
        <f>HYPERLINK("https://www.youtube.com/results?search_query=takeUforward+Subset+sum+equals+target+using+memoization", "YouTube Video")</f>
        <v/>
      </c>
    </row>
    <row r="478" ht="20" customHeight="1">
      <c r="A478" s="7" t="n">
        <v>474</v>
      </c>
      <c r="B478" s="7" t="inlineStr">
        <is>
          <t>Todo</t>
        </is>
      </c>
      <c r="C478" s="8" t="inlineStr">
        <is>
          <t>Step 16: DP</t>
        </is>
      </c>
      <c r="D478" s="8" t="inlineStr">
        <is>
          <t>Subsequences</t>
        </is>
      </c>
      <c r="E478" s="8" t="inlineStr">
        <is>
          <t>0/1 Knapsack problem tabulation</t>
        </is>
      </c>
      <c r="F478" s="14" t="inlineStr">
        <is>
          <t>Medium</t>
        </is>
      </c>
      <c r="G478" s="15">
        <f>HYPERLINK("https://leetcode.com/problems/target-sum/", "LeetCode Practice")</f>
        <v/>
      </c>
      <c r="H478" s="21">
        <f>HYPERLINK("https://www.youtube.com/results?search_query=takeUforward+0+1+Knapsack+problem+tabulation", "YouTube Video")</f>
        <v/>
      </c>
    </row>
    <row r="479" ht="20" customHeight="1">
      <c r="A479" s="4" t="n">
        <v>475</v>
      </c>
      <c r="B479" s="4" t="inlineStr">
        <is>
          <t>Todo</t>
        </is>
      </c>
      <c r="C479" s="5" t="inlineStr">
        <is>
          <t>Step 16: DP</t>
        </is>
      </c>
      <c r="D479" s="5" t="inlineStr">
        <is>
          <t>Strings DP</t>
        </is>
      </c>
      <c r="E479" s="5" t="inlineStr">
        <is>
          <t>Longest Common Substring DP</t>
        </is>
      </c>
      <c r="F479" s="17" t="inlineStr">
        <is>
          <t>Medium</t>
        </is>
      </c>
      <c r="G479" s="13">
        <f>HYPERLINK("https://leetcode.com/problems/maximum-length-of-repeated-subarray/", "LeetCode Practice")</f>
        <v/>
      </c>
      <c r="H479" s="20">
        <f>HYPERLINK("https://www.youtube.com/results?search_query=takeUforward+Longest+Common+Substring+DP", "YouTube Video")</f>
        <v/>
      </c>
    </row>
    <row r="480" ht="20" customHeight="1">
      <c r="A480" s="7" t="n">
        <v>476</v>
      </c>
      <c r="B480" s="7" t="inlineStr">
        <is>
          <t>Todo</t>
        </is>
      </c>
      <c r="C480" s="8" t="inlineStr">
        <is>
          <t>Step 16: DP</t>
        </is>
      </c>
      <c r="D480" s="8" t="inlineStr">
        <is>
          <t>MCM / Partition DP</t>
        </is>
      </c>
      <c r="E480" s="8" t="inlineStr">
        <is>
          <t>Matrix Chain Multiplication tabulation</t>
        </is>
      </c>
      <c r="F480" s="19" t="inlineStr">
        <is>
          <t>Hard</t>
        </is>
      </c>
      <c r="G480" s="15">
        <f>HYPERLINK("https://leetcode.com/problems/burst-balloons/", "LeetCode Practice")</f>
        <v/>
      </c>
      <c r="H480" s="21">
        <f>HYPERLINK("https://www.youtube.com/results?search_query=takeUforward+Matrix+Chain+Multiplication+tabulation", "YouTube Video")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2026-09-16T06:46:45Z</dcterms:created>
  <dcterms:modified xmlns:dcterms="http://purl.org/dc/terms/" xmlns:xsi="http://www.w3.org/2001/XMLSchema-instance" xsi:type="dcterms:W3CDTF">2026-09-16T07:53:57Z</dcterms:modified>
</cp:coreProperties>
</file>